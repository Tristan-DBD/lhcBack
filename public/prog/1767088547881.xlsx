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 programme" sheetId="1" r:id="rId4"/>
    <sheet state="visible" name="RPE vs. %" sheetId="2" r:id="rId5"/>
  </sheets>
  <definedNames>
    <definedName name="SQMAX">'Mon programme'!$E$3</definedName>
    <definedName name="BNMAX">'Mon programme'!$E$4</definedName>
    <definedName name="DLMAX">'Mon programme'!$E$5</definedName>
  </definedNames>
  <calcPr/>
</workbook>
</file>

<file path=xl/sharedStrings.xml><?xml version="1.0" encoding="utf-8"?>
<sst xmlns="http://schemas.openxmlformats.org/spreadsheetml/2006/main" count="1151" uniqueCount="79">
  <si>
    <t>1RM</t>
  </si>
  <si>
    <t>Squat</t>
  </si>
  <si>
    <t>OBJECTIF DU BLOC :</t>
  </si>
  <si>
    <t>Relancer la machine</t>
  </si>
  <si>
    <t>Bench</t>
  </si>
  <si>
    <t>Deadlift</t>
  </si>
  <si>
    <t>Jour 1 : Squat 4/1/0 Bench volume</t>
  </si>
  <si>
    <t>Jour 2 :  Deadlift Larsen Bench</t>
  </si>
  <si>
    <t>Jour 3 : Bench  Squat pause</t>
  </si>
  <si>
    <t>Jour 4 : SBD</t>
  </si>
  <si>
    <t>VOLUME S1J1</t>
  </si>
  <si>
    <t>squat</t>
  </si>
  <si>
    <t>bench</t>
  </si>
  <si>
    <t>deadlift</t>
  </si>
  <si>
    <t>pecs</t>
  </si>
  <si>
    <t>dos</t>
  </si>
  <si>
    <t>épaules</t>
  </si>
  <si>
    <t>biceps</t>
  </si>
  <si>
    <t>triceps</t>
  </si>
  <si>
    <t>quads</t>
  </si>
  <si>
    <t>ischios</t>
  </si>
  <si>
    <t>fessier</t>
  </si>
  <si>
    <t>mollets</t>
  </si>
  <si>
    <t>Type</t>
  </si>
  <si>
    <t>Muscle</t>
  </si>
  <si>
    <t>Exercices</t>
  </si>
  <si>
    <t>Sets</t>
  </si>
  <si>
    <t>Reps</t>
  </si>
  <si>
    <t>Intensité</t>
  </si>
  <si>
    <t>Charge</t>
  </si>
  <si>
    <t>RPE</t>
  </si>
  <si>
    <t>e1RM</t>
  </si>
  <si>
    <t>Notes</t>
  </si>
  <si>
    <t>Série</t>
  </si>
  <si>
    <t>Tonnage</t>
  </si>
  <si>
    <t>Semaine 1</t>
  </si>
  <si>
    <t>Squat 4/1/0</t>
  </si>
  <si>
    <t>Indiquer votre forme du jour, vos observations, blessures, ...</t>
  </si>
  <si>
    <t>Squat pause</t>
  </si>
  <si>
    <t>Deadlift pause</t>
  </si>
  <si>
    <t xml:space="preserve">Bench </t>
  </si>
  <si>
    <t>Bench larsen</t>
  </si>
  <si>
    <t>Bench 2ct</t>
  </si>
  <si>
    <t>Renfo</t>
  </si>
  <si>
    <t>Hack squat</t>
  </si>
  <si>
    <t>Rdl uni</t>
  </si>
  <si>
    <t>chest press</t>
  </si>
  <si>
    <t>Back extension</t>
  </si>
  <si>
    <t xml:space="preserve">développer militaire </t>
  </si>
  <si>
    <t>Incliné haltère</t>
  </si>
  <si>
    <t>Back extension (coté)</t>
  </si>
  <si>
    <t>élévation lateral</t>
  </si>
  <si>
    <t>Traction</t>
  </si>
  <si>
    <t>Extension triceps</t>
  </si>
  <si>
    <t>VOLUME S2J1</t>
  </si>
  <si>
    <t>Semaine 2</t>
  </si>
  <si>
    <t>Rowing 9,9,8</t>
  </si>
  <si>
    <t>Semaine 3</t>
  </si>
  <si>
    <t>VOLUME S3J1</t>
  </si>
  <si>
    <t xml:space="preserve">bench fatigued single </t>
  </si>
  <si>
    <t>Semaine 4</t>
  </si>
  <si>
    <t>VOLUME S4J1</t>
  </si>
  <si>
    <t>Semaine 5</t>
  </si>
  <si>
    <t>Utilise ce tableau pour t'aider à convertir les RPE en pourcentage et inversement. Attention. Ces chiffres ne sont que des moyennes. Ils ont valeur d'indication pas de vérité absolue.</t>
  </si>
  <si>
    <t>Tableau RPE vs. %</t>
  </si>
  <si>
    <t>Nombre de répétitions</t>
  </si>
  <si>
    <t>@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</si>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</sst>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&lt;=10]&quot;@&quot;0.0;[&gt;10]##&quot;%&quot;"/>
    <numFmt numFmtId="165" formatCode="0&quot; x&quot;"/>
    <numFmt numFmtId="166" formatCode="0.0"/>
    <numFmt numFmtId="167" formatCode="d-m"/>
    <numFmt numFmtId="168" formatCode="0.0%"/>
  </numFmts>
  <fonts count="19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Roboto"/>
    </font>
    <font>
      <b/>
      <sz val="11.0"/>
      <color rgb="FFFFFFFF"/>
      <name val="Roboto"/>
    </font>
    <font/>
    <font>
      <b/>
      <sz val="11.0"/>
      <color theme="1"/>
      <name val="Roboto"/>
    </font>
    <font>
      <b/>
      <sz val="14.0"/>
      <color rgb="FFDC143C"/>
      <name val="Roboto"/>
    </font>
    <font>
      <i/>
      <sz val="11.0"/>
      <color rgb="FF999999"/>
      <name val="Roboto"/>
    </font>
    <font>
      <b/>
      <sz val="11.0"/>
      <color rgb="FFDC143C"/>
      <name val="Roboto"/>
    </font>
    <font>
      <b/>
      <sz val="11.0"/>
      <color rgb="FF434343"/>
      <name val="Roboto"/>
    </font>
    <font>
      <i/>
      <sz val="11.0"/>
      <color theme="1"/>
      <name val="Roboto"/>
    </font>
    <font>
      <color theme="1"/>
      <name val="Roboto"/>
    </font>
    <font>
      <color theme="1"/>
      <name val="Calibri"/>
    </font>
    <font>
      <i/>
      <sz val="11.0"/>
      <color rgb="FF999999"/>
      <name val="Calibri"/>
    </font>
    <font>
      <sz val="14.0"/>
      <color rgb="FF434343"/>
      <name val="Calibri"/>
    </font>
    <font>
      <b/>
      <color rgb="FF434343"/>
      <name val="Calibri"/>
    </font>
    <font>
      <b/>
      <sz val="9.0"/>
      <color rgb="FF434343"/>
      <name val="Calibri"/>
    </font>
    <font>
      <sz val="9.0"/>
      <color rgb="FF434343"/>
      <name val="Calibri"/>
    </font>
    <font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DC143C"/>
        <bgColor rgb="FFDC143C"/>
      </patternFill>
    </fill>
    <fill>
      <patternFill patternType="solid">
        <fgColor rgb="FFF6A2B3"/>
        <bgColor rgb="FFF6A2B3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9D9D9"/>
      </top>
    </border>
    <border>
      <bottom style="thin">
        <color rgb="FFD9D9D9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top style="thin">
        <color rgb="FFD9D9D9"/>
      </top>
      <bottom style="thin">
        <color rgb="FFD9D9D9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top style="thin">
        <color rgb="FFF3F3F3"/>
      </top>
    </border>
    <border>
      <left style="thin">
        <color rgb="FF6D9EEB"/>
      </left>
      <top style="thin">
        <color rgb="FF6D9EEB"/>
      </top>
    </border>
    <border>
      <top style="thin">
        <color rgb="FF6D9EEB"/>
      </top>
    </border>
    <border>
      <left style="thin">
        <color rgb="FF6D9EEB"/>
      </left>
    </border>
    <border>
      <right/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2" fontId="5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0" fillId="2" fontId="6" numFmtId="0" xfId="0" applyAlignment="1" applyFont="1">
      <alignment horizontal="right" shrinkToFit="0" vertical="bottom" wrapText="0"/>
    </xf>
    <xf borderId="0" fillId="2" fontId="7" numFmtId="164" xfId="0" applyAlignment="1" applyFont="1" applyNumberFormat="1">
      <alignment vertical="bottom"/>
    </xf>
    <xf borderId="0" fillId="2" fontId="8" numFmtId="0" xfId="0" applyAlignment="1" applyFont="1">
      <alignment vertical="bottom"/>
    </xf>
    <xf borderId="0" fillId="2" fontId="1" numFmtId="165" xfId="0" applyFont="1" applyNumberFormat="1"/>
    <xf borderId="0" fillId="2" fontId="1" numFmtId="164" xfId="0" applyAlignment="1" applyFont="1" applyNumberFormat="1">
      <alignment vertical="bottom"/>
    </xf>
    <xf borderId="4" fillId="4" fontId="1" numFmtId="0" xfId="0" applyAlignment="1" applyBorder="1" applyFill="1" applyFont="1">
      <alignment vertical="bottom"/>
    </xf>
    <xf borderId="4" fillId="4" fontId="1" numFmtId="0" xfId="0" applyAlignment="1" applyBorder="1" applyFont="1">
      <alignment vertical="bottom"/>
    </xf>
    <xf borderId="4" fillId="4" fontId="1" numFmtId="165" xfId="0" applyAlignment="1" applyBorder="1" applyFont="1" applyNumberFormat="1">
      <alignment vertical="bottom"/>
    </xf>
    <xf borderId="4" fillId="4" fontId="1" numFmtId="164" xfId="0" applyAlignment="1" applyBorder="1" applyFont="1" applyNumberFormat="1">
      <alignment vertical="bottom"/>
    </xf>
    <xf borderId="0" fillId="3" fontId="3" numFmtId="0" xfId="0" applyAlignment="1" applyFont="1">
      <alignment horizontal="center" vertical="bottom"/>
    </xf>
    <xf borderId="4" fillId="4" fontId="1" numFmtId="164" xfId="0" applyAlignment="1" applyBorder="1" applyFont="1" applyNumberFormat="1">
      <alignment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4" fontId="1" numFmtId="165" xfId="0" applyAlignment="1" applyFont="1" applyNumberFormat="1">
      <alignment vertical="bottom"/>
    </xf>
    <xf borderId="0" fillId="4" fontId="1" numFmtId="164" xfId="0" applyAlignment="1" applyFont="1" applyNumberFormat="1">
      <alignment vertical="bottom"/>
    </xf>
    <xf borderId="0" fillId="5" fontId="2" numFmtId="0" xfId="0" applyAlignment="1" applyFill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7" fontId="2" numFmtId="0" xfId="0" applyAlignment="1" applyFill="1" applyFon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4" fontId="1" numFmtId="164" xfId="0" applyAlignment="1" applyFont="1" applyNumberFormat="1">
      <alignment vertical="bottom"/>
    </xf>
    <xf borderId="0" fillId="4" fontId="9" numFmtId="0" xfId="0" applyAlignment="1" applyFont="1">
      <alignment horizontal="center" vertical="bottom"/>
    </xf>
    <xf borderId="0" fillId="4" fontId="9" numFmtId="0" xfId="0" applyAlignment="1" applyFont="1">
      <alignment vertical="bottom"/>
    </xf>
    <xf borderId="0" fillId="4" fontId="9" numFmtId="165" xfId="0" applyAlignment="1" applyFont="1" applyNumberFormat="1">
      <alignment horizontal="right"/>
    </xf>
    <xf borderId="0" fillId="4" fontId="9" numFmtId="0" xfId="0" applyFont="1"/>
    <xf borderId="0" fillId="4" fontId="9" numFmtId="164" xfId="0" applyAlignment="1" applyFont="1" applyNumberFormat="1">
      <alignment horizontal="center" vertical="bottom"/>
    </xf>
    <xf borderId="0" fillId="4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4" fontId="9" numFmtId="164" xfId="0" applyAlignment="1" applyFont="1" applyNumberFormat="1">
      <alignment horizontal="center" vertical="bottom"/>
    </xf>
    <xf borderId="0" fillId="2" fontId="5" numFmtId="0" xfId="0" applyAlignment="1" applyFont="1">
      <alignment horizontal="center" textRotation="90"/>
    </xf>
    <xf borderId="0" fillId="4" fontId="1" numFmtId="0" xfId="0" applyFont="1"/>
    <xf borderId="0" fillId="8" fontId="10" numFmtId="0" xfId="0" applyAlignment="1" applyFill="1" applyFont="1">
      <alignment horizontal="center"/>
    </xf>
    <xf borderId="0" fillId="8" fontId="1" numFmtId="0" xfId="0" applyFont="1"/>
    <xf borderId="0" fillId="8" fontId="5" numFmtId="0" xfId="0" applyFont="1"/>
    <xf borderId="0" fillId="8" fontId="2" numFmtId="165" xfId="0" applyAlignment="1" applyFont="1" applyNumberFormat="1">
      <alignment horizontal="right"/>
    </xf>
    <xf borderId="0" fillId="8" fontId="2" numFmtId="0" xfId="0" applyFont="1"/>
    <xf borderId="0" fillId="8" fontId="2" numFmtId="164" xfId="0" applyAlignment="1" applyFont="1" applyNumberFormat="1">
      <alignment horizontal="center" readingOrder="0" vertical="bottom"/>
    </xf>
    <xf borderId="0" fillId="8" fontId="2" numFmtId="0" xfId="0" applyAlignment="1" applyFont="1">
      <alignment horizontal="center" vertical="bottom"/>
    </xf>
    <xf borderId="5" fillId="2" fontId="1" numFmtId="166" xfId="0" applyAlignment="1" applyBorder="1" applyFont="1" applyNumberFormat="1">
      <alignment vertical="bottom"/>
    </xf>
    <xf borderId="6" fillId="2" fontId="7" numFmtId="0" xfId="0" applyAlignment="1" applyBorder="1" applyFont="1">
      <alignment shrinkToFit="0" vertical="top" wrapText="1"/>
    </xf>
    <xf borderId="0" fillId="0" fontId="2" numFmtId="3" xfId="0" applyAlignment="1" applyFont="1" applyNumberFormat="1">
      <alignment horizontal="center" vertical="bottom"/>
    </xf>
    <xf borderId="0" fillId="0" fontId="1" numFmtId="3" xfId="0" applyAlignment="1" applyFont="1" applyNumberFormat="1">
      <alignment vertical="bottom"/>
    </xf>
    <xf borderId="0" fillId="7" fontId="10" numFmtId="0" xfId="0" applyAlignment="1" applyFont="1">
      <alignment horizontal="center"/>
    </xf>
    <xf borderId="0" fillId="7" fontId="1" numFmtId="0" xfId="0" applyFont="1"/>
    <xf borderId="0" fillId="7" fontId="5" numFmtId="0" xfId="0" applyFont="1"/>
    <xf borderId="0" fillId="7" fontId="2" numFmtId="165" xfId="0" applyAlignment="1" applyFont="1" applyNumberFormat="1">
      <alignment horizontal="right"/>
    </xf>
    <xf borderId="0" fillId="7" fontId="2" numFmtId="0" xfId="0" applyFont="1"/>
    <xf borderId="0" fillId="7" fontId="2" numFmtId="164" xfId="0" applyAlignment="1" applyFont="1" applyNumberFormat="1">
      <alignment horizontal="center" vertical="bottom"/>
    </xf>
    <xf borderId="0" fillId="8" fontId="2" numFmtId="164" xfId="0" applyAlignment="1" applyFont="1" applyNumberFormat="1">
      <alignment horizontal="center" vertical="bottom"/>
    </xf>
    <xf borderId="0" fillId="8" fontId="2" numFmtId="164" xfId="0" applyAlignment="1" applyFont="1" applyNumberFormat="1">
      <alignment horizontal="center" vertical="bottom"/>
    </xf>
    <xf borderId="7" fillId="2" fontId="1" numFmtId="166" xfId="0" applyAlignment="1" applyBorder="1" applyFont="1" applyNumberFormat="1">
      <alignment vertical="bottom"/>
    </xf>
    <xf borderId="8" fillId="0" fontId="4" numFmtId="0" xfId="0" applyBorder="1" applyFont="1"/>
    <xf borderId="0" fillId="4" fontId="2" numFmtId="0" xfId="0" applyAlignment="1" applyFont="1">
      <alignment horizontal="right" vertical="bottom"/>
    </xf>
    <xf borderId="0" fillId="9" fontId="10" numFmtId="0" xfId="0" applyAlignment="1" applyFill="1" applyFont="1">
      <alignment horizontal="center"/>
    </xf>
    <xf borderId="0" fillId="9" fontId="1" numFmtId="0" xfId="0" applyFont="1"/>
    <xf borderId="0" fillId="9" fontId="5" numFmtId="0" xfId="0" applyFont="1"/>
    <xf borderId="0" fillId="9" fontId="2" numFmtId="165" xfId="0" applyAlignment="1" applyFont="1" applyNumberFormat="1">
      <alignment horizontal="right"/>
    </xf>
    <xf borderId="0" fillId="9" fontId="2" numFmtId="0" xfId="0" applyFont="1"/>
    <xf borderId="0" fillId="9" fontId="2" numFmtId="164" xfId="0" applyAlignment="1" applyFont="1" applyNumberFormat="1">
      <alignment horizontal="center" vertical="bottom"/>
    </xf>
    <xf borderId="0" fillId="9" fontId="2" numFmtId="0" xfId="0" applyAlignment="1" applyFont="1">
      <alignment horizontal="center" vertical="bottom"/>
    </xf>
    <xf borderId="0" fillId="9" fontId="2" numFmtId="164" xfId="0" applyAlignment="1" applyFont="1" applyNumberFormat="1">
      <alignment horizontal="center" vertical="bottom"/>
    </xf>
    <xf borderId="0" fillId="7" fontId="2" numFmtId="164" xfId="0" applyAlignment="1" applyFont="1" applyNumberFormat="1">
      <alignment horizontal="center" vertical="bottom"/>
    </xf>
    <xf borderId="0" fillId="2" fontId="10" numFmtId="0" xfId="0" applyAlignment="1" applyFont="1">
      <alignment horizontal="center"/>
    </xf>
    <xf borderId="0" fillId="2" fontId="1" numFmtId="0" xfId="0" applyFont="1"/>
    <xf borderId="0" fillId="2" fontId="5" numFmtId="0" xfId="0" applyFont="1"/>
    <xf borderId="0" fillId="2" fontId="2" numFmtId="165" xfId="0" applyAlignment="1" applyFont="1" applyNumberFormat="1">
      <alignment horizontal="right"/>
    </xf>
    <xf borderId="0" fillId="2" fontId="2" numFmtId="167" xfId="0" applyFont="1" applyNumberFormat="1"/>
    <xf borderId="0" fillId="0" fontId="2" numFmtId="0" xfId="0" applyAlignment="1" applyFont="1">
      <alignment horizontal="center" readingOrder="0" vertical="bottom"/>
    </xf>
    <xf borderId="0" fillId="2" fontId="5" numFmtId="0" xfId="0" applyAlignment="1" applyFont="1">
      <alignment readingOrder="0"/>
    </xf>
    <xf borderId="0" fillId="2" fontId="2" numFmtId="0" xfId="0" applyFont="1"/>
    <xf borderId="0" fillId="2" fontId="1" numFmtId="0" xfId="0" applyAlignment="1" applyFont="1">
      <alignment readingOrder="0"/>
    </xf>
    <xf borderId="0" fillId="2" fontId="1" numFmtId="165" xfId="0" applyAlignment="1" applyFont="1" applyNumberFormat="1">
      <alignment readingOrder="0"/>
    </xf>
    <xf borderId="4" fillId="2" fontId="1" numFmtId="166" xfId="0" applyAlignment="1" applyBorder="1" applyFont="1" applyNumberFormat="1">
      <alignment vertical="bottom"/>
    </xf>
    <xf borderId="9" fillId="0" fontId="4" numFmtId="0" xfId="0" applyBorder="1" applyFont="1"/>
    <xf borderId="0" fillId="4" fontId="1" numFmtId="166" xfId="0" applyAlignment="1" applyFont="1" applyNumberFormat="1">
      <alignment vertical="bottom"/>
    </xf>
    <xf borderId="10" fillId="0" fontId="2" numFmtId="3" xfId="0" applyAlignment="1" applyBorder="1" applyFont="1" applyNumberFormat="1">
      <alignment horizontal="center" vertical="bottom"/>
    </xf>
    <xf borderId="0" fillId="4" fontId="9" numFmtId="166" xfId="0" applyAlignment="1" applyFont="1" applyNumberFormat="1">
      <alignment horizontal="center" vertical="bottom"/>
    </xf>
    <xf borderId="0" fillId="4" fontId="2" numFmtId="0" xfId="0" applyAlignment="1" applyFont="1">
      <alignment horizontal="center" vertical="bottom"/>
    </xf>
    <xf borderId="0" fillId="3" fontId="3" numFmtId="3" xfId="0" applyAlignment="1" applyFont="1" applyNumberFormat="1">
      <alignment horizontal="center" vertical="bottom"/>
    </xf>
    <xf borderId="0" fillId="2" fontId="5" numFmtId="0" xfId="0" applyAlignment="1" applyFont="1">
      <alignment horizontal="center" textRotation="90"/>
    </xf>
    <xf borderId="0" fillId="4" fontId="1" numFmtId="0" xfId="0" applyFont="1"/>
    <xf borderId="0" fillId="8" fontId="10" numFmtId="0" xfId="0" applyAlignment="1" applyFont="1">
      <alignment horizontal="center"/>
    </xf>
    <xf borderId="0" fillId="8" fontId="1" numFmtId="0" xfId="0" applyFont="1"/>
    <xf borderId="0" fillId="8" fontId="5" numFmtId="0" xfId="0" applyFont="1"/>
    <xf borderId="0" fillId="8" fontId="2" numFmtId="0" xfId="0" applyFont="1"/>
    <xf borderId="0" fillId="4" fontId="2" numFmtId="0" xfId="0" applyAlignment="1" applyFont="1">
      <alignment horizontal="right" vertical="bottom"/>
    </xf>
    <xf borderId="5" fillId="2" fontId="2" numFmtId="166" xfId="0" applyAlignment="1" applyBorder="1" applyFont="1" applyNumberFormat="1">
      <alignment horizontal="center" vertical="bottom"/>
    </xf>
    <xf borderId="6" fillId="2" fontId="7" numFmtId="0" xfId="0" applyAlignment="1" applyBorder="1" applyFont="1">
      <alignment shrinkToFit="0" vertical="top" wrapText="1"/>
    </xf>
    <xf borderId="0" fillId="5" fontId="2" numFmtId="3" xfId="0" applyAlignment="1" applyFont="1" applyNumberFormat="1">
      <alignment horizontal="center" vertical="bottom"/>
    </xf>
    <xf borderId="0" fillId="6" fontId="2" numFmtId="3" xfId="0" applyAlignment="1" applyFont="1" applyNumberFormat="1">
      <alignment horizontal="center" vertical="bottom"/>
    </xf>
    <xf borderId="0" fillId="7" fontId="2" numFmtId="3" xfId="0" applyAlignment="1" applyFont="1" applyNumberFormat="1">
      <alignment horizontal="center" vertical="bottom"/>
    </xf>
    <xf borderId="0" fillId="7" fontId="10" numFmtId="0" xfId="0" applyAlignment="1" applyFont="1">
      <alignment horizontal="center"/>
    </xf>
    <xf borderId="0" fillId="7" fontId="1" numFmtId="0" xfId="0" applyFont="1"/>
    <xf borderId="0" fillId="7" fontId="5" numFmtId="0" xfId="0" applyFont="1"/>
    <xf borderId="0" fillId="7" fontId="2" numFmtId="0" xfId="0" applyFont="1"/>
    <xf borderId="0" fillId="7" fontId="2" numFmtId="164" xfId="0" applyAlignment="1" applyFont="1" applyNumberFormat="1">
      <alignment horizontal="center"/>
    </xf>
    <xf borderId="0" fillId="8" fontId="2" numFmtId="164" xfId="0" applyAlignment="1" applyFont="1" applyNumberFormat="1">
      <alignment horizontal="center"/>
    </xf>
    <xf borderId="0" fillId="8" fontId="2" numFmtId="164" xfId="0" applyAlignment="1" applyFont="1" applyNumberFormat="1">
      <alignment horizontal="center"/>
    </xf>
    <xf borderId="0" fillId="9" fontId="2" numFmtId="164" xfId="0" applyAlignment="1" applyFont="1" applyNumberFormat="1">
      <alignment horizontal="center"/>
    </xf>
    <xf borderId="0" fillId="9" fontId="2" numFmtId="164" xfId="0" applyAlignment="1" applyFont="1" applyNumberFormat="1">
      <alignment horizontal="center"/>
    </xf>
    <xf borderId="0" fillId="7" fontId="2" numFmtId="164" xfId="0" applyAlignment="1" applyFont="1" applyNumberFormat="1">
      <alignment horizontal="center"/>
    </xf>
    <xf borderId="0" fillId="2" fontId="1" numFmtId="164" xfId="0" applyFont="1" applyNumberFormat="1"/>
    <xf borderId="0" fillId="2" fontId="2" numFmtId="0" xfId="0" applyAlignment="1" applyFont="1">
      <alignment horizontal="center"/>
    </xf>
    <xf borderId="0" fillId="2" fontId="1" numFmtId="164" xfId="0" applyFont="1" applyNumberFormat="1"/>
    <xf borderId="0" fillId="9" fontId="10" numFmtId="0" xfId="0" applyAlignment="1" applyFont="1">
      <alignment horizontal="center"/>
    </xf>
    <xf borderId="0" fillId="9" fontId="1" numFmtId="0" xfId="0" applyFont="1"/>
    <xf borderId="0" fillId="9" fontId="5" numFmtId="0" xfId="0" applyFont="1"/>
    <xf borderId="0" fillId="9" fontId="2" numFmtId="0" xfId="0" applyFont="1"/>
    <xf borderId="0" fillId="9" fontId="5" numFmtId="0" xfId="0" applyAlignment="1" applyFont="1">
      <alignment readingOrder="0"/>
    </xf>
    <xf borderId="0" fillId="9" fontId="2" numFmtId="0" xfId="0" applyAlignment="1" applyFont="1">
      <alignment readingOrder="0"/>
    </xf>
    <xf borderId="0" fillId="9" fontId="2" numFmtId="164" xfId="0" applyAlignment="1" applyFont="1" applyNumberFormat="1">
      <alignment horizontal="center" readingOrder="0"/>
    </xf>
    <xf borderId="0" fillId="2" fontId="2" numFmtId="3" xfId="0" applyAlignment="1" applyFont="1" applyNumberFormat="1">
      <alignment horizontal="center" vertical="bottom"/>
    </xf>
    <xf borderId="0" fillId="9" fontId="2" numFmtId="0" xfId="0" applyAlignment="1" applyFont="1">
      <alignment horizontal="center" readingOrder="0"/>
    </xf>
    <xf borderId="0" fillId="2" fontId="10" numFmtId="0" xfId="0" applyAlignment="1" applyFont="1">
      <alignment horizontal="center"/>
    </xf>
    <xf borderId="0" fillId="2" fontId="1" numFmtId="0" xfId="0" applyFont="1"/>
    <xf borderId="0" fillId="2" fontId="5" numFmtId="0" xfId="0" applyFont="1"/>
    <xf borderId="0" fillId="2" fontId="2" numFmtId="0" xfId="0" applyFont="1"/>
    <xf borderId="0" fillId="4" fontId="11" numFmtId="0" xfId="0" applyAlignment="1" applyFont="1">
      <alignment horizontal="center" vertical="bottom"/>
    </xf>
    <xf borderId="0" fillId="4" fontId="1" numFmtId="3" xfId="0" applyAlignment="1" applyFont="1" applyNumberFormat="1">
      <alignment vertical="bottom"/>
    </xf>
    <xf borderId="0" fillId="4" fontId="2" numFmtId="0" xfId="0" applyFont="1"/>
    <xf borderId="0" fillId="4" fontId="2" numFmtId="0" xfId="0" applyAlignment="1" applyFont="1">
      <alignment horizontal="center"/>
    </xf>
    <xf borderId="0" fillId="4" fontId="2" numFmtId="165" xfId="0" applyFont="1" applyNumberFormat="1"/>
    <xf borderId="0" fillId="4" fontId="2" numFmtId="164" xfId="0" applyAlignment="1" applyFont="1" applyNumberFormat="1">
      <alignment horizontal="center" vertical="bottom"/>
    </xf>
    <xf borderId="0" fillId="4" fontId="2" numFmtId="165" xfId="0" applyAlignment="1" applyFont="1" applyNumberFormat="1">
      <alignment horizontal="right"/>
    </xf>
    <xf borderId="0" fillId="4" fontId="2" numFmtId="0" xfId="0" applyAlignment="1" applyFont="1">
      <alignment horizontal="left"/>
    </xf>
    <xf borderId="0" fillId="4" fontId="2" numFmtId="164" xfId="0" applyFont="1" applyNumberFormat="1"/>
    <xf borderId="0" fillId="4" fontId="2" numFmtId="0" xfId="0" applyFont="1"/>
    <xf borderId="0" fillId="4" fontId="5" numFmtId="0" xfId="0" applyAlignment="1" applyFont="1">
      <alignment horizontal="left"/>
    </xf>
    <xf borderId="0" fillId="4" fontId="2" numFmtId="0" xfId="0" applyAlignment="1" applyFont="1">
      <alignment horizontal="center"/>
    </xf>
    <xf borderId="0" fillId="4" fontId="2" numFmtId="164" xfId="0" applyFont="1" applyNumberFormat="1"/>
    <xf borderId="0" fillId="0" fontId="12" numFmtId="0" xfId="0" applyAlignment="1" applyFont="1">
      <alignment readingOrder="0"/>
    </xf>
    <xf borderId="11" fillId="10" fontId="13" numFmtId="0" xfId="0" applyAlignment="1" applyBorder="1" applyFill="1" applyFont="1">
      <alignment readingOrder="0" shrinkToFit="0" vertical="top" wrapText="1"/>
    </xf>
    <xf borderId="12" fillId="0" fontId="4" numFmtId="0" xfId="0" applyBorder="1" applyFont="1"/>
    <xf borderId="0" fillId="4" fontId="14" numFmtId="0" xfId="0" applyAlignment="1" applyFont="1">
      <alignment readingOrder="0" shrinkToFit="0" vertical="bottom" wrapText="0"/>
    </xf>
    <xf borderId="0" fillId="4" fontId="12" numFmtId="0" xfId="0" applyAlignment="1" applyFont="1">
      <alignment vertical="bottom"/>
    </xf>
    <xf borderId="0" fillId="0" fontId="12" numFmtId="0" xfId="0" applyFont="1"/>
    <xf borderId="13" fillId="0" fontId="4" numFmtId="0" xfId="0" applyBorder="1" applyFont="1"/>
    <xf borderId="14" fillId="4" fontId="12" numFmtId="0" xfId="0" applyAlignment="1" applyBorder="1" applyFont="1">
      <alignment vertical="bottom"/>
    </xf>
    <xf borderId="14" fillId="4" fontId="15" numFmtId="0" xfId="0" applyAlignment="1" applyBorder="1" applyFont="1">
      <alignment horizontal="center" readingOrder="0" shrinkToFit="0" vertical="bottom" wrapText="0"/>
    </xf>
    <xf borderId="0" fillId="4" fontId="16" numFmtId="0" xfId="0" applyAlignment="1" applyFont="1">
      <alignment horizontal="right" vertical="bottom"/>
    </xf>
    <xf borderId="0" fillId="4" fontId="17" numFmtId="0" xfId="0" applyAlignment="1" applyFont="1">
      <alignment horizontal="center" vertical="bottom"/>
    </xf>
    <xf borderId="0" fillId="11" fontId="18" numFmtId="168" xfId="0" applyAlignment="1" applyFill="1" applyFont="1" applyNumberFormat="1">
      <alignment horizontal="center" vertical="bottom"/>
    </xf>
    <xf borderId="0" fillId="2" fontId="18" numFmtId="168" xfId="0" applyAlignment="1" applyFont="1" applyNumberFormat="1">
      <alignment horizontal="center" vertical="bottom"/>
    </xf>
    <xf borderId="0" fillId="4" fontId="12" numFmtId="168" xfId="0" applyAlignment="1" applyFont="1" applyNumberFormat="1">
      <alignment vertical="bottom"/>
    </xf>
    <xf borderId="0" fillId="2" fontId="12" numFmtId="0" xfId="0" applyFont="1"/>
  </cellXfs>
  <cellStyles count="1">
    <cellStyle xfId="0" name="Normal" builtinId="0"/>
  </cellStyles>
  <dxfs count="7">
    <dxf>
      <font/>
      <fill>
        <patternFill patternType="solid">
          <fgColor rgb="FFDC143C"/>
          <bgColor rgb="FFDC143C"/>
        </patternFill>
      </fill>
      <border/>
    </dxf>
    <dxf>
      <font/>
      <fill>
        <patternFill patternType="solid">
          <fgColor rgb="FFF6A2B3"/>
          <bgColor rgb="FFF6A2B3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RPE vs. %-style"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4:P11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PE vs. %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2" width="5.88"/>
    <col customWidth="1" min="3" max="3" width="3.0"/>
    <col customWidth="1" min="4" max="4" width="10.5"/>
    <col customWidth="1" min="5" max="5" width="7.88"/>
    <col customWidth="1" min="6" max="6" width="18.25"/>
    <col customWidth="1" min="7" max="7" width="5.63"/>
    <col customWidth="1" min="8" max="8" width="5.0"/>
    <col customWidth="1" min="9" max="9" width="10.38"/>
    <col collapsed="1" customWidth="1" min="10" max="10" width="10.75"/>
    <col customWidth="1" hidden="1" min="11" max="11" width="6.13" outlineLevel="1"/>
    <col customWidth="1" hidden="1" min="12" max="12" width="11.38" outlineLevel="1"/>
    <col customWidth="1" hidden="1" min="13" max="13" width="19.63" outlineLevel="1"/>
    <col customWidth="1" min="14" max="14" width="2.63"/>
    <col customWidth="1" hidden="1" min="15" max="15" width="8.13"/>
    <col customWidth="1" hidden="1" min="16" max="16" width="7.38"/>
    <col customWidth="1" hidden="1" min="17" max="17" width="5.38"/>
    <col customWidth="1" hidden="1" min="18" max="18" width="8.5"/>
    <col customWidth="1" hidden="1" min="19" max="19" width="6.25"/>
    <col customWidth="1" hidden="1" min="20" max="20" width="7.38"/>
    <col customWidth="1" hidden="1" min="21" max="21" width="4.75"/>
    <col customWidth="1" hidden="1" min="22" max="22" width="8.5"/>
    <col customWidth="1" hidden="1" min="23" max="23" width="4.75"/>
    <col customWidth="1" hidden="1" min="24" max="24" width="8.5"/>
    <col customWidth="1" hidden="1" min="25" max="25" width="6.13"/>
    <col customWidth="1" hidden="1" min="26" max="26" width="6.5"/>
    <col customWidth="1" hidden="1" min="27" max="27" width="5.25"/>
    <col customWidth="1" hidden="1" min="28" max="28" width="6.5"/>
    <col customWidth="1" hidden="1" min="29" max="29" width="5.5"/>
    <col customWidth="1" hidden="1" min="30" max="30" width="6.5"/>
    <col customWidth="1" hidden="1" min="31" max="31" width="5.0"/>
    <col customWidth="1" hidden="1" min="32" max="32" width="6.5"/>
    <col customWidth="1" hidden="1" min="33" max="33" width="5.38"/>
    <col customWidth="1" hidden="1" min="34" max="34" width="6.5"/>
    <col customWidth="1" hidden="1" min="35" max="35" width="5.25"/>
    <col customWidth="1" hidden="1" min="36" max="36" width="6.5"/>
    <col customWidth="1" hidden="1" min="37" max="37" width="5.25"/>
    <col customWidth="1" hidden="1" min="38" max="38" width="7.38"/>
    <col customWidth="1" min="39" max="39" width="2.63"/>
    <col customWidth="1" min="40" max="40" width="10.5"/>
    <col customWidth="1" min="41" max="41" width="7.88"/>
    <col customWidth="1" min="42" max="42" width="18.25"/>
    <col customWidth="1" min="43" max="43" width="5.63"/>
    <col customWidth="1" min="44" max="44" width="5.0"/>
    <col customWidth="1" min="45" max="45" width="10.38"/>
    <col collapsed="1" customWidth="1" min="46" max="46" width="10.75"/>
    <col customWidth="1" hidden="1" min="47" max="47" width="6.13" outlineLevel="1"/>
    <col customWidth="1" hidden="1" min="48" max="48" width="11.38" outlineLevel="1"/>
    <col customWidth="1" hidden="1" min="49" max="49" width="19.63" outlineLevel="1"/>
    <col customWidth="1" min="50" max="50" width="2.63"/>
    <col customWidth="1" hidden="1" min="51" max="51" width="8.13"/>
    <col customWidth="1" hidden="1" min="52" max="52" width="7.38"/>
    <col customWidth="1" hidden="1" min="53" max="53" width="5.38"/>
    <col customWidth="1" hidden="1" min="54" max="54" width="8.5"/>
    <col customWidth="1" hidden="1" min="55" max="55" width="6.25"/>
    <col customWidth="1" hidden="1" min="56" max="56" width="7.38"/>
    <col customWidth="1" hidden="1" min="57" max="57" width="4.75"/>
    <col customWidth="1" hidden="1" min="58" max="58" width="8.5"/>
    <col customWidth="1" hidden="1" min="59" max="59" width="4.75"/>
    <col customWidth="1" hidden="1" min="60" max="60" width="8.5"/>
    <col customWidth="1" hidden="1" min="61" max="61" width="6.13"/>
    <col customWidth="1" hidden="1" min="62" max="62" width="6.5"/>
    <col customWidth="1" hidden="1" min="63" max="63" width="5.25"/>
    <col customWidth="1" hidden="1" min="64" max="64" width="6.5"/>
    <col customWidth="1" hidden="1" min="65" max="65" width="5.5"/>
    <col customWidth="1" hidden="1" min="66" max="66" width="6.5"/>
    <col customWidth="1" hidden="1" min="67" max="67" width="5.0"/>
    <col customWidth="1" hidden="1" min="68" max="68" width="6.5"/>
    <col customWidth="1" hidden="1" min="69" max="69" width="5.38"/>
    <col customWidth="1" hidden="1" min="70" max="70" width="6.5"/>
    <col customWidth="1" hidden="1" min="71" max="71" width="5.25"/>
    <col customWidth="1" hidden="1" min="72" max="72" width="6.5"/>
    <col customWidth="1" hidden="1" min="73" max="73" width="5.25"/>
    <col customWidth="1" hidden="1" min="74" max="74" width="7.38"/>
    <col customWidth="1" min="75" max="75" width="2.63"/>
    <col customWidth="1" min="76" max="76" width="10.5"/>
    <col customWidth="1" min="77" max="77" width="7.88"/>
    <col customWidth="1" min="78" max="78" width="18.25"/>
    <col customWidth="1" min="79" max="79" width="5.63"/>
    <col customWidth="1" min="80" max="80" width="5.0"/>
    <col customWidth="1" min="81" max="81" width="10.38"/>
    <col collapsed="1" customWidth="1" min="82" max="82" width="10.75"/>
    <col customWidth="1" hidden="1" min="83" max="83" width="6.13" outlineLevel="1"/>
    <col customWidth="1" hidden="1" min="84" max="84" width="11.38" outlineLevel="1"/>
    <col customWidth="1" hidden="1" min="85" max="85" width="19.63" outlineLevel="1"/>
    <col customWidth="1" min="86" max="86" width="2.63"/>
    <col customWidth="1" hidden="1" min="87" max="87" width="8.13"/>
    <col customWidth="1" hidden="1" min="88" max="88" width="7.38"/>
    <col customWidth="1" hidden="1" min="89" max="89" width="5.38"/>
    <col customWidth="1" hidden="1" min="90" max="90" width="8.5"/>
    <col customWidth="1" hidden="1" min="91" max="91" width="6.25"/>
    <col customWidth="1" hidden="1" min="92" max="92" width="7.38"/>
    <col customWidth="1" hidden="1" min="93" max="93" width="4.75"/>
    <col customWidth="1" hidden="1" min="94" max="94" width="8.5"/>
    <col customWidth="1" hidden="1" min="95" max="95" width="4.75"/>
    <col customWidth="1" hidden="1" min="96" max="96" width="8.5"/>
    <col customWidth="1" hidden="1" min="97" max="97" width="6.13"/>
    <col customWidth="1" hidden="1" min="98" max="98" width="6.5"/>
    <col customWidth="1" hidden="1" min="99" max="99" width="5.25"/>
    <col customWidth="1" hidden="1" min="100" max="100" width="6.5"/>
    <col customWidth="1" hidden="1" min="101" max="101" width="5.5"/>
    <col customWidth="1" hidden="1" min="102" max="102" width="6.5"/>
    <col customWidth="1" hidden="1" min="103" max="103" width="5.0"/>
    <col customWidth="1" hidden="1" min="104" max="104" width="6.5"/>
    <col customWidth="1" hidden="1" min="105" max="105" width="5.38"/>
    <col customWidth="1" hidden="1" min="106" max="106" width="6.5"/>
    <col customWidth="1" hidden="1" min="107" max="107" width="5.25"/>
    <col customWidth="1" hidden="1" min="108" max="108" width="6.5"/>
    <col customWidth="1" hidden="1" min="109" max="109" width="5.25"/>
    <col customWidth="1" hidden="1" min="110" max="110" width="7.38"/>
    <col customWidth="1" min="111" max="111" width="2.63"/>
    <col customWidth="1" min="112" max="112" width="10.5"/>
    <col customWidth="1" min="113" max="113" width="7.88"/>
    <col customWidth="1" min="114" max="114" width="18.25"/>
    <col customWidth="1" min="115" max="115" width="5.63"/>
    <col customWidth="1" min="116" max="116" width="5.0"/>
    <col customWidth="1" min="117" max="117" width="10.38"/>
    <col collapsed="1" customWidth="1" min="118" max="118" width="10.75"/>
    <col customWidth="1" hidden="1" min="119" max="119" width="6.13" outlineLevel="1"/>
    <col customWidth="1" hidden="1" min="120" max="120" width="11.38" outlineLevel="1"/>
    <col customWidth="1" hidden="1" min="121" max="121" width="19.63" outlineLevel="1"/>
    <col customWidth="1" min="122" max="122" width="4.13"/>
    <col customWidth="1" min="123" max="123" width="2.63"/>
    <col customWidth="1" hidden="1" min="124" max="124" width="8.13"/>
    <col customWidth="1" hidden="1" min="125" max="125" width="7.38"/>
    <col customWidth="1" hidden="1" min="126" max="126" width="5.38"/>
    <col customWidth="1" hidden="1" min="127" max="127" width="8.5"/>
    <col customWidth="1" hidden="1" min="128" max="128" width="6.25"/>
    <col customWidth="1" hidden="1" min="129" max="129" width="7.38"/>
    <col customWidth="1" hidden="1" min="130" max="130" width="4.75"/>
    <col customWidth="1" hidden="1" min="131" max="131" width="8.5"/>
    <col customWidth="1" hidden="1" min="132" max="132" width="4.75"/>
    <col customWidth="1" hidden="1" min="133" max="133" width="8.5"/>
    <col customWidth="1" hidden="1" min="134" max="134" width="6.13"/>
    <col customWidth="1" hidden="1" min="135" max="135" width="6.5"/>
    <col customWidth="1" hidden="1" min="136" max="136" width="5.25"/>
    <col customWidth="1" hidden="1" min="137" max="137" width="6.5"/>
    <col customWidth="1" hidden="1" min="138" max="138" width="5.5"/>
    <col customWidth="1" hidden="1" min="139" max="139" width="6.5"/>
    <col customWidth="1" hidden="1" min="140" max="140" width="5.0"/>
    <col customWidth="1" hidden="1" min="141" max="141" width="6.5"/>
    <col customWidth="1" hidden="1" min="142" max="142" width="5.38"/>
    <col customWidth="1" hidden="1" min="143" max="143" width="6.5"/>
    <col customWidth="1" hidden="1" min="144" max="144" width="5.25"/>
    <col customWidth="1" hidden="1" min="145" max="145" width="6.5"/>
    <col customWidth="1" hidden="1" min="146" max="146" width="5.25"/>
    <col customWidth="1" hidden="1" min="147" max="147" width="7.38"/>
    <col customWidth="1" hidden="1" min="148" max="148" width="8.13"/>
    <col customWidth="1" hidden="1" min="149" max="149" width="7.38"/>
    <col customWidth="1" hidden="1" min="150" max="150" width="5.38"/>
    <col customWidth="1" hidden="1" min="151" max="151" width="8.5"/>
    <col customWidth="1" hidden="1" min="152" max="152" width="6.25"/>
    <col customWidth="1" hidden="1" min="153" max="153" width="7.38"/>
    <col customWidth="1" hidden="1" min="154" max="154" width="4.75"/>
    <col customWidth="1" hidden="1" min="155" max="155" width="8.5"/>
    <col customWidth="1" hidden="1" min="156" max="156" width="4.75"/>
    <col customWidth="1" hidden="1" min="157" max="157" width="8.5"/>
    <col customWidth="1" hidden="1" min="158" max="158" width="6.13"/>
    <col customWidth="1" hidden="1" min="159" max="159" width="6.5"/>
    <col customWidth="1" hidden="1" min="160" max="160" width="5.25"/>
    <col customWidth="1" hidden="1" min="161" max="161" width="6.5"/>
    <col customWidth="1" hidden="1" min="162" max="162" width="5.5"/>
    <col customWidth="1" hidden="1" min="163" max="163" width="6.5"/>
    <col customWidth="1" hidden="1" min="164" max="164" width="5.0"/>
    <col customWidth="1" hidden="1" min="165" max="165" width="6.5"/>
    <col customWidth="1" hidden="1" min="166" max="166" width="5.38"/>
    <col customWidth="1" hidden="1" min="167" max="167" width="6.5"/>
    <col customWidth="1" hidden="1" min="168" max="168" width="5.25"/>
    <col customWidth="1" hidden="1" min="169" max="169" width="6.5"/>
    <col customWidth="1" hidden="1" min="170" max="170" width="5.25"/>
    <col customWidth="1" hidden="1" min="171" max="171" width="7.38"/>
  </cols>
  <sheetData>
    <row r="1">
      <c r="A1" s="1"/>
      <c r="B1" s="2"/>
      <c r="C1" s="2"/>
      <c r="D1" s="2"/>
      <c r="E1" s="3"/>
      <c r="F1" s="3"/>
      <c r="G1" s="4"/>
      <c r="H1" s="3"/>
      <c r="I1" s="1"/>
      <c r="J1" s="2"/>
      <c r="K1" s="3"/>
      <c r="L1" s="3"/>
      <c r="M1" s="3"/>
      <c r="N1" s="3"/>
      <c r="O1" s="3"/>
      <c r="P1" s="3"/>
      <c r="Q1" s="3"/>
      <c r="R1" s="3"/>
      <c r="S1" s="5"/>
      <c r="T1" s="5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5"/>
      <c r="AO1" s="5"/>
      <c r="AP1" s="5"/>
      <c r="AQ1" s="6"/>
      <c r="AR1" s="5"/>
      <c r="AS1" s="7"/>
      <c r="AT1" s="8"/>
      <c r="AU1" s="5"/>
      <c r="AV1" s="5"/>
      <c r="AW1" s="5"/>
      <c r="AX1" s="5"/>
      <c r="AY1" s="3"/>
      <c r="AZ1" s="3"/>
      <c r="BA1" s="3"/>
      <c r="BB1" s="3"/>
      <c r="BC1" s="5" t="str">
        <f>IF(AN11="Squat",AQ11,"")</f>
        <v/>
      </c>
      <c r="BD1" s="5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5"/>
      <c r="BX1" s="5"/>
      <c r="BY1" s="5"/>
      <c r="BZ1" s="5"/>
      <c r="CA1" s="6"/>
      <c r="CB1" s="5"/>
      <c r="CC1" s="7"/>
      <c r="CD1" s="8"/>
      <c r="CE1" s="5"/>
      <c r="CF1" s="5"/>
      <c r="CG1" s="5"/>
      <c r="CH1" s="5"/>
      <c r="CI1" s="3"/>
      <c r="CJ1" s="3"/>
      <c r="CK1" s="3"/>
      <c r="CL1" s="3"/>
      <c r="CM1" s="9">
        <f>IF(BX11="Squat",CA11,"")</f>
        <v>3</v>
      </c>
      <c r="CN1" s="5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5"/>
      <c r="DH1" s="5"/>
      <c r="DI1" s="5"/>
      <c r="DJ1" s="5"/>
      <c r="DK1" s="6"/>
      <c r="DL1" s="5"/>
      <c r="DM1" s="10"/>
      <c r="DN1" s="8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</row>
    <row r="2">
      <c r="A2" s="5"/>
      <c r="B2" s="5"/>
      <c r="C2" s="2"/>
      <c r="D2" s="11" t="s">
        <v>0</v>
      </c>
      <c r="E2" s="12"/>
      <c r="F2" s="5"/>
      <c r="G2" s="4"/>
      <c r="H2" s="3"/>
      <c r="I2" s="1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5"/>
      <c r="AO2" s="5"/>
      <c r="AP2" s="5"/>
      <c r="AQ2" s="6"/>
      <c r="AR2" s="5"/>
      <c r="AS2" s="7"/>
      <c r="AT2" s="8"/>
      <c r="AU2" s="5"/>
      <c r="AV2" s="5"/>
      <c r="AW2" s="5"/>
      <c r="AX2" s="5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5"/>
      <c r="BX2" s="5"/>
      <c r="BY2" s="5"/>
      <c r="BZ2" s="5"/>
      <c r="CA2" s="6"/>
      <c r="CB2" s="5"/>
      <c r="CC2" s="7"/>
      <c r="CD2" s="8"/>
      <c r="CE2" s="5"/>
      <c r="CF2" s="5"/>
      <c r="CG2" s="5"/>
      <c r="CH2" s="5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5"/>
      <c r="DH2" s="5"/>
      <c r="DI2" s="5"/>
      <c r="DJ2" s="5"/>
      <c r="DK2" s="6"/>
      <c r="DL2" s="5"/>
      <c r="DM2" s="10"/>
      <c r="DN2" s="8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</row>
    <row r="3">
      <c r="A3" s="5"/>
      <c r="B3" s="5"/>
      <c r="C3" s="2"/>
      <c r="D3" s="13" t="s">
        <v>1</v>
      </c>
      <c r="E3" s="14">
        <v>200.0</v>
      </c>
      <c r="F3" s="15" t="s">
        <v>2</v>
      </c>
      <c r="I3" s="16" t="s">
        <v>3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5"/>
      <c r="AO3" s="5"/>
      <c r="AP3" s="5"/>
      <c r="AQ3" s="6"/>
      <c r="AR3" s="5"/>
      <c r="AS3" s="7"/>
      <c r="AT3" s="8"/>
      <c r="AU3" s="5"/>
      <c r="AV3" s="5"/>
      <c r="AW3" s="5"/>
      <c r="AX3" s="5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5"/>
      <c r="BX3" s="5"/>
      <c r="BY3" s="5"/>
      <c r="BZ3" s="5"/>
      <c r="CA3" s="6"/>
      <c r="CB3" s="5"/>
      <c r="CC3" s="7"/>
      <c r="CD3" s="8"/>
      <c r="CE3" s="5"/>
      <c r="CF3" s="5"/>
      <c r="CG3" s="5"/>
      <c r="CH3" s="5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5"/>
      <c r="DH3" s="5"/>
      <c r="DI3" s="5"/>
      <c r="DJ3" s="5"/>
      <c r="DK3" s="6"/>
      <c r="DL3" s="5"/>
      <c r="DM3" s="10"/>
      <c r="DN3" s="8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</row>
    <row r="4">
      <c r="A4" s="5"/>
      <c r="B4" s="5"/>
      <c r="C4" s="2"/>
      <c r="D4" s="13" t="s">
        <v>4</v>
      </c>
      <c r="E4" s="14">
        <v>140.0</v>
      </c>
      <c r="F4" s="5"/>
      <c r="G4" s="4"/>
      <c r="H4" s="3"/>
      <c r="I4" s="1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5"/>
      <c r="AO4" s="5"/>
      <c r="AP4" s="5"/>
      <c r="AQ4" s="6"/>
      <c r="AR4" s="5"/>
      <c r="AS4" s="7"/>
      <c r="AT4" s="8"/>
      <c r="AU4" s="5"/>
      <c r="AV4" s="5"/>
      <c r="AW4" s="5"/>
      <c r="AX4" s="5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5"/>
      <c r="BX4" s="5"/>
      <c r="BY4" s="5"/>
      <c r="BZ4" s="5"/>
      <c r="CA4" s="6"/>
      <c r="CB4" s="5"/>
      <c r="CC4" s="7"/>
      <c r="CD4" s="8"/>
      <c r="CE4" s="5"/>
      <c r="CF4" s="5"/>
      <c r="CG4" s="5"/>
      <c r="CH4" s="5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5"/>
      <c r="DH4" s="5"/>
      <c r="DI4" s="5"/>
      <c r="DJ4" s="5"/>
      <c r="DK4" s="6"/>
      <c r="DL4" s="5"/>
      <c r="DM4" s="10"/>
      <c r="DN4" s="8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</row>
    <row r="5">
      <c r="A5" s="5"/>
      <c r="B5" s="5"/>
      <c r="C5" s="2"/>
      <c r="D5" s="13" t="s">
        <v>5</v>
      </c>
      <c r="E5" s="14">
        <v>250.0</v>
      </c>
      <c r="F5" s="5"/>
      <c r="G5" s="4"/>
      <c r="H5" s="3"/>
      <c r="I5" s="1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5"/>
      <c r="AO5" s="5"/>
      <c r="AP5" s="5"/>
      <c r="AQ5" s="6"/>
      <c r="AR5" s="5"/>
      <c r="AS5" s="7"/>
      <c r="AT5" s="8"/>
      <c r="AU5" s="5"/>
      <c r="AV5" s="5"/>
      <c r="AW5" s="5"/>
      <c r="AX5" s="5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5"/>
      <c r="BX5" s="5"/>
      <c r="BY5" s="5"/>
      <c r="BZ5" s="5"/>
      <c r="CA5" s="6"/>
      <c r="CB5" s="5"/>
      <c r="CC5" s="7"/>
      <c r="CD5" s="8"/>
      <c r="CE5" s="5"/>
      <c r="CF5" s="5"/>
      <c r="CG5" s="5"/>
      <c r="CH5" s="5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5"/>
      <c r="DH5" s="5"/>
      <c r="DI5" s="5"/>
      <c r="DJ5" s="5"/>
      <c r="DK5" s="6"/>
      <c r="DL5" s="5"/>
      <c r="DM5" s="10"/>
      <c r="DN5" s="8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</row>
    <row r="6">
      <c r="A6" s="2"/>
      <c r="B6" s="2"/>
      <c r="C6" s="2"/>
      <c r="D6" s="3"/>
      <c r="E6" s="3"/>
      <c r="F6" s="3"/>
      <c r="G6" s="4"/>
      <c r="H6" s="3"/>
      <c r="I6" s="1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5"/>
      <c r="AO6" s="5"/>
      <c r="AP6" s="5"/>
      <c r="AQ6" s="6"/>
      <c r="AR6" s="5"/>
      <c r="AS6" s="7"/>
      <c r="AT6" s="8"/>
      <c r="AU6" s="5"/>
      <c r="AV6" s="5"/>
      <c r="AW6" s="5"/>
      <c r="AX6" s="5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4"/>
      <c r="CB6" s="3"/>
      <c r="CC6" s="1"/>
      <c r="CD6" s="2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5"/>
      <c r="DH6" s="5"/>
      <c r="DI6" s="5"/>
      <c r="DJ6" s="5"/>
      <c r="DK6" s="6"/>
      <c r="DL6" s="5"/>
      <c r="DM6" s="10"/>
      <c r="DN6" s="8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</row>
    <row r="7">
      <c r="A7" s="2"/>
      <c r="B7" s="2"/>
      <c r="C7" s="2"/>
      <c r="D7" s="3"/>
      <c r="E7" s="3"/>
      <c r="F7" s="17" t="s">
        <v>6</v>
      </c>
      <c r="G7" s="18"/>
      <c r="H7" s="3"/>
      <c r="I7" s="1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17" t="s">
        <v>7</v>
      </c>
      <c r="AQ7" s="18"/>
      <c r="AR7" s="3"/>
      <c r="AS7" s="1"/>
      <c r="AT7" s="2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17" t="s">
        <v>8</v>
      </c>
      <c r="CA7" s="18"/>
      <c r="CB7" s="3"/>
      <c r="CC7" s="1"/>
      <c r="CD7" s="2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17" t="s">
        <v>9</v>
      </c>
      <c r="DK7" s="18"/>
      <c r="DL7" s="3"/>
      <c r="DM7" s="19"/>
      <c r="DN7" s="2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</row>
    <row r="8">
      <c r="A8" s="20"/>
      <c r="B8" s="20"/>
      <c r="C8" s="20"/>
      <c r="D8" s="21"/>
      <c r="E8" s="21"/>
      <c r="F8" s="21"/>
      <c r="G8" s="22"/>
      <c r="H8" s="21"/>
      <c r="I8" s="23"/>
      <c r="J8" s="20"/>
      <c r="K8" s="21"/>
      <c r="L8" s="21"/>
      <c r="M8" s="21"/>
      <c r="N8" s="21"/>
      <c r="O8" s="24" t="s">
        <v>10</v>
      </c>
      <c r="AM8" s="21"/>
      <c r="AN8" s="21"/>
      <c r="AO8" s="21"/>
      <c r="AP8" s="21"/>
      <c r="AQ8" s="22"/>
      <c r="AR8" s="21"/>
      <c r="AS8" s="23"/>
      <c r="AT8" s="20"/>
      <c r="AU8" s="21"/>
      <c r="AV8" s="21"/>
      <c r="AW8" s="21"/>
      <c r="AX8" s="21"/>
      <c r="AY8" s="24" t="s">
        <v>10</v>
      </c>
      <c r="BW8" s="21"/>
      <c r="BX8" s="21"/>
      <c r="BY8" s="21"/>
      <c r="BZ8" s="21"/>
      <c r="CA8" s="22"/>
      <c r="CB8" s="21"/>
      <c r="CC8" s="23"/>
      <c r="CD8" s="20"/>
      <c r="CE8" s="21"/>
      <c r="CF8" s="21"/>
      <c r="CG8" s="21"/>
      <c r="CH8" s="21"/>
      <c r="CI8" s="24" t="s">
        <v>10</v>
      </c>
      <c r="DG8" s="21"/>
      <c r="DH8" s="21"/>
      <c r="DI8" s="21"/>
      <c r="DJ8" s="21"/>
      <c r="DK8" s="22"/>
      <c r="DL8" s="21"/>
      <c r="DM8" s="25"/>
      <c r="DN8" s="20"/>
      <c r="DO8" s="21"/>
      <c r="DP8" s="21"/>
      <c r="DQ8" s="21"/>
      <c r="DR8" s="21"/>
      <c r="DS8" s="21"/>
      <c r="DT8" s="24" t="s">
        <v>10</v>
      </c>
      <c r="ER8" s="24" t="s">
        <v>10</v>
      </c>
    </row>
    <row r="9">
      <c r="A9" s="26"/>
      <c r="B9" s="26"/>
      <c r="C9" s="26"/>
      <c r="D9" s="27"/>
      <c r="E9" s="27"/>
      <c r="F9" s="26"/>
      <c r="G9" s="28"/>
      <c r="H9" s="27"/>
      <c r="I9" s="29"/>
      <c r="J9" s="26"/>
      <c r="K9" s="27"/>
      <c r="L9" s="27"/>
      <c r="M9" s="27"/>
      <c r="N9" s="27"/>
      <c r="O9" s="30" t="s">
        <v>11</v>
      </c>
      <c r="Q9" s="31" t="s">
        <v>12</v>
      </c>
      <c r="S9" s="32" t="s">
        <v>13</v>
      </c>
      <c r="U9" s="33" t="s">
        <v>14</v>
      </c>
      <c r="W9" s="34" t="s">
        <v>15</v>
      </c>
      <c r="Y9" s="35" t="s">
        <v>16</v>
      </c>
      <c r="AA9" s="34" t="s">
        <v>17</v>
      </c>
      <c r="AC9" s="34" t="s">
        <v>18</v>
      </c>
      <c r="AE9" s="34" t="s">
        <v>19</v>
      </c>
      <c r="AG9" s="34" t="s">
        <v>20</v>
      </c>
      <c r="AI9" s="34" t="s">
        <v>21</v>
      </c>
      <c r="AK9" s="34" t="s">
        <v>22</v>
      </c>
      <c r="AM9" s="27"/>
      <c r="AN9" s="27"/>
      <c r="AO9" s="27"/>
      <c r="AP9" s="26"/>
      <c r="AQ9" s="28"/>
      <c r="AR9" s="27"/>
      <c r="AS9" s="29"/>
      <c r="AT9" s="26"/>
      <c r="AU9" s="27"/>
      <c r="AV9" s="27"/>
      <c r="AW9" s="27"/>
      <c r="AX9" s="27"/>
      <c r="AY9" s="30" t="s">
        <v>11</v>
      </c>
      <c r="BA9" s="31" t="s">
        <v>12</v>
      </c>
      <c r="BC9" s="32" t="s">
        <v>13</v>
      </c>
      <c r="BE9" s="33" t="s">
        <v>14</v>
      </c>
      <c r="BG9" s="34" t="s">
        <v>15</v>
      </c>
      <c r="BI9" s="35" t="s">
        <v>16</v>
      </c>
      <c r="BK9" s="34" t="s">
        <v>17</v>
      </c>
      <c r="BM9" s="34" t="s">
        <v>18</v>
      </c>
      <c r="BO9" s="34" t="s">
        <v>19</v>
      </c>
      <c r="BQ9" s="34" t="s">
        <v>20</v>
      </c>
      <c r="BS9" s="34" t="s">
        <v>21</v>
      </c>
      <c r="BU9" s="34" t="s">
        <v>22</v>
      </c>
      <c r="BW9" s="27"/>
      <c r="BX9" s="27"/>
      <c r="BY9" s="27"/>
      <c r="BZ9" s="26"/>
      <c r="CA9" s="28"/>
      <c r="CB9" s="27"/>
      <c r="CC9" s="29"/>
      <c r="CD9" s="26"/>
      <c r="CE9" s="27"/>
      <c r="CF9" s="27"/>
      <c r="CG9" s="27"/>
      <c r="CH9" s="27"/>
      <c r="CI9" s="30" t="s">
        <v>11</v>
      </c>
      <c r="CK9" s="31" t="s">
        <v>12</v>
      </c>
      <c r="CM9" s="32" t="s">
        <v>13</v>
      </c>
      <c r="CO9" s="33" t="s">
        <v>14</v>
      </c>
      <c r="CQ9" s="34" t="s">
        <v>15</v>
      </c>
      <c r="CS9" s="35" t="s">
        <v>16</v>
      </c>
      <c r="CU9" s="34" t="s">
        <v>17</v>
      </c>
      <c r="CW9" s="34" t="s">
        <v>18</v>
      </c>
      <c r="CY9" s="34" t="s">
        <v>19</v>
      </c>
      <c r="DA9" s="34" t="s">
        <v>20</v>
      </c>
      <c r="DC9" s="34" t="s">
        <v>21</v>
      </c>
      <c r="DE9" s="34" t="s">
        <v>22</v>
      </c>
      <c r="DG9" s="27"/>
      <c r="DH9" s="27"/>
      <c r="DI9" s="27"/>
      <c r="DJ9" s="26"/>
      <c r="DK9" s="28"/>
      <c r="DL9" s="27"/>
      <c r="DM9" s="36"/>
      <c r="DN9" s="26"/>
      <c r="DO9" s="27"/>
      <c r="DP9" s="27"/>
      <c r="DQ9" s="27"/>
      <c r="DR9" s="27"/>
      <c r="DS9" s="27"/>
      <c r="DT9" s="30" t="s">
        <v>11</v>
      </c>
      <c r="DV9" s="31" t="s">
        <v>12</v>
      </c>
      <c r="DX9" s="32" t="s">
        <v>13</v>
      </c>
      <c r="DZ9" s="33" t="s">
        <v>14</v>
      </c>
      <c r="EB9" s="34" t="s">
        <v>15</v>
      </c>
      <c r="ED9" s="35" t="s">
        <v>16</v>
      </c>
      <c r="EF9" s="34" t="s">
        <v>17</v>
      </c>
      <c r="EH9" s="34" t="s">
        <v>18</v>
      </c>
      <c r="EJ9" s="34" t="s">
        <v>19</v>
      </c>
      <c r="EL9" s="34" t="s">
        <v>20</v>
      </c>
      <c r="EN9" s="34" t="s">
        <v>21</v>
      </c>
      <c r="EP9" s="34" t="s">
        <v>22</v>
      </c>
      <c r="ER9" s="30" t="s">
        <v>11</v>
      </c>
      <c r="ET9" s="31" t="s">
        <v>12</v>
      </c>
      <c r="EV9" s="32" t="s">
        <v>13</v>
      </c>
      <c r="EX9" s="33" t="s">
        <v>14</v>
      </c>
      <c r="EZ9" s="34" t="s">
        <v>15</v>
      </c>
      <c r="FB9" s="35" t="s">
        <v>16</v>
      </c>
      <c r="FD9" s="34" t="s">
        <v>17</v>
      </c>
      <c r="FF9" s="34" t="s">
        <v>18</v>
      </c>
      <c r="FH9" s="34" t="s">
        <v>19</v>
      </c>
      <c r="FJ9" s="34" t="s">
        <v>20</v>
      </c>
      <c r="FL9" s="34" t="s">
        <v>21</v>
      </c>
      <c r="FN9" s="34" t="s">
        <v>22</v>
      </c>
    </row>
    <row r="10">
      <c r="A10" s="26"/>
      <c r="B10" s="27"/>
      <c r="C10" s="27"/>
      <c r="D10" s="37" t="s">
        <v>23</v>
      </c>
      <c r="E10" s="37" t="s">
        <v>24</v>
      </c>
      <c r="F10" s="38" t="s">
        <v>25</v>
      </c>
      <c r="G10" s="39" t="s">
        <v>26</v>
      </c>
      <c r="H10" s="40" t="s">
        <v>27</v>
      </c>
      <c r="I10" s="41" t="s">
        <v>28</v>
      </c>
      <c r="J10" s="37" t="s">
        <v>29</v>
      </c>
      <c r="K10" s="37" t="s">
        <v>30</v>
      </c>
      <c r="L10" s="37" t="s">
        <v>31</v>
      </c>
      <c r="M10" s="42" t="s">
        <v>32</v>
      </c>
      <c r="N10" s="27"/>
      <c r="O10" s="43" t="s">
        <v>33</v>
      </c>
      <c r="P10" s="43" t="s">
        <v>34</v>
      </c>
      <c r="Q10" s="43" t="s">
        <v>33</v>
      </c>
      <c r="R10" s="43" t="s">
        <v>34</v>
      </c>
      <c r="S10" s="43" t="s">
        <v>33</v>
      </c>
      <c r="T10" s="43" t="s">
        <v>34</v>
      </c>
      <c r="U10" s="43" t="s">
        <v>33</v>
      </c>
      <c r="V10" s="43" t="s">
        <v>34</v>
      </c>
      <c r="W10" s="43" t="s">
        <v>33</v>
      </c>
      <c r="X10" s="43" t="s">
        <v>34</v>
      </c>
      <c r="Y10" s="43" t="s">
        <v>33</v>
      </c>
      <c r="Z10" s="43" t="s">
        <v>34</v>
      </c>
      <c r="AA10" s="43" t="s">
        <v>33</v>
      </c>
      <c r="AB10" s="43" t="s">
        <v>34</v>
      </c>
      <c r="AC10" s="43" t="s">
        <v>33</v>
      </c>
      <c r="AD10" s="43" t="s">
        <v>34</v>
      </c>
      <c r="AE10" s="43" t="s">
        <v>33</v>
      </c>
      <c r="AF10" s="43" t="s">
        <v>34</v>
      </c>
      <c r="AG10" s="43" t="s">
        <v>33</v>
      </c>
      <c r="AH10" s="43" t="s">
        <v>34</v>
      </c>
      <c r="AI10" s="43" t="s">
        <v>33</v>
      </c>
      <c r="AJ10" s="43" t="s">
        <v>34</v>
      </c>
      <c r="AK10" s="43" t="s">
        <v>33</v>
      </c>
      <c r="AL10" s="43" t="s">
        <v>34</v>
      </c>
      <c r="AM10" s="27"/>
      <c r="AN10" s="37" t="s">
        <v>23</v>
      </c>
      <c r="AO10" s="37" t="s">
        <v>24</v>
      </c>
      <c r="AP10" s="38" t="s">
        <v>25</v>
      </c>
      <c r="AQ10" s="39" t="s">
        <v>26</v>
      </c>
      <c r="AR10" s="40" t="s">
        <v>27</v>
      </c>
      <c r="AS10" s="41" t="s">
        <v>28</v>
      </c>
      <c r="AT10" s="37" t="s">
        <v>29</v>
      </c>
      <c r="AU10" s="37" t="s">
        <v>30</v>
      </c>
      <c r="AV10" s="37" t="s">
        <v>31</v>
      </c>
      <c r="AW10" s="42" t="s">
        <v>32</v>
      </c>
      <c r="AX10" s="27"/>
      <c r="AY10" s="43" t="s">
        <v>33</v>
      </c>
      <c r="AZ10" s="43" t="s">
        <v>34</v>
      </c>
      <c r="BA10" s="43" t="s">
        <v>33</v>
      </c>
      <c r="BB10" s="43" t="s">
        <v>34</v>
      </c>
      <c r="BC10" s="43" t="s">
        <v>33</v>
      </c>
      <c r="BD10" s="43" t="s">
        <v>34</v>
      </c>
      <c r="BE10" s="43" t="s">
        <v>33</v>
      </c>
      <c r="BF10" s="43" t="s">
        <v>34</v>
      </c>
      <c r="BG10" s="43" t="s">
        <v>33</v>
      </c>
      <c r="BH10" s="43" t="s">
        <v>34</v>
      </c>
      <c r="BI10" s="43" t="s">
        <v>33</v>
      </c>
      <c r="BJ10" s="43" t="s">
        <v>34</v>
      </c>
      <c r="BK10" s="43" t="s">
        <v>33</v>
      </c>
      <c r="BL10" s="43" t="s">
        <v>34</v>
      </c>
      <c r="BM10" s="43" t="s">
        <v>33</v>
      </c>
      <c r="BN10" s="43" t="s">
        <v>34</v>
      </c>
      <c r="BO10" s="43" t="s">
        <v>33</v>
      </c>
      <c r="BP10" s="43" t="s">
        <v>34</v>
      </c>
      <c r="BQ10" s="43" t="s">
        <v>33</v>
      </c>
      <c r="BR10" s="43" t="s">
        <v>34</v>
      </c>
      <c r="BS10" s="43" t="s">
        <v>33</v>
      </c>
      <c r="BT10" s="43" t="s">
        <v>34</v>
      </c>
      <c r="BU10" s="43" t="s">
        <v>33</v>
      </c>
      <c r="BV10" s="43" t="s">
        <v>34</v>
      </c>
      <c r="BW10" s="27"/>
      <c r="BX10" s="37" t="s">
        <v>23</v>
      </c>
      <c r="BY10" s="37" t="s">
        <v>24</v>
      </c>
      <c r="BZ10" s="38" t="s">
        <v>25</v>
      </c>
      <c r="CA10" s="39" t="s">
        <v>26</v>
      </c>
      <c r="CB10" s="40" t="s">
        <v>27</v>
      </c>
      <c r="CC10" s="41" t="s">
        <v>28</v>
      </c>
      <c r="CD10" s="37" t="s">
        <v>29</v>
      </c>
      <c r="CE10" s="37" t="s">
        <v>30</v>
      </c>
      <c r="CF10" s="37" t="s">
        <v>31</v>
      </c>
      <c r="CG10" s="42" t="s">
        <v>32</v>
      </c>
      <c r="CH10" s="27"/>
      <c r="CI10" s="43" t="s">
        <v>33</v>
      </c>
      <c r="CJ10" s="43" t="s">
        <v>34</v>
      </c>
      <c r="CK10" s="43" t="s">
        <v>33</v>
      </c>
      <c r="CL10" s="43" t="s">
        <v>34</v>
      </c>
      <c r="CM10" s="43" t="s">
        <v>33</v>
      </c>
      <c r="CN10" s="43" t="s">
        <v>34</v>
      </c>
      <c r="CO10" s="43" t="s">
        <v>33</v>
      </c>
      <c r="CP10" s="43" t="s">
        <v>34</v>
      </c>
      <c r="CQ10" s="43" t="s">
        <v>33</v>
      </c>
      <c r="CR10" s="43" t="s">
        <v>34</v>
      </c>
      <c r="CS10" s="43" t="s">
        <v>33</v>
      </c>
      <c r="CT10" s="43" t="s">
        <v>34</v>
      </c>
      <c r="CU10" s="43" t="s">
        <v>33</v>
      </c>
      <c r="CV10" s="43" t="s">
        <v>34</v>
      </c>
      <c r="CW10" s="43" t="s">
        <v>33</v>
      </c>
      <c r="CX10" s="43" t="s">
        <v>34</v>
      </c>
      <c r="CY10" s="43" t="s">
        <v>33</v>
      </c>
      <c r="CZ10" s="43" t="s">
        <v>34</v>
      </c>
      <c r="DA10" s="43" t="s">
        <v>33</v>
      </c>
      <c r="DB10" s="43" t="s">
        <v>34</v>
      </c>
      <c r="DC10" s="43" t="s">
        <v>33</v>
      </c>
      <c r="DD10" s="43" t="s">
        <v>34</v>
      </c>
      <c r="DE10" s="43" t="s">
        <v>33</v>
      </c>
      <c r="DF10" s="43" t="s">
        <v>34</v>
      </c>
      <c r="DG10" s="27"/>
      <c r="DH10" s="37" t="s">
        <v>23</v>
      </c>
      <c r="DI10" s="37" t="s">
        <v>24</v>
      </c>
      <c r="DJ10" s="38" t="s">
        <v>25</v>
      </c>
      <c r="DK10" s="39" t="s">
        <v>26</v>
      </c>
      <c r="DL10" s="40" t="s">
        <v>27</v>
      </c>
      <c r="DM10" s="44" t="s">
        <v>28</v>
      </c>
      <c r="DN10" s="37" t="s">
        <v>29</v>
      </c>
      <c r="DO10" s="37" t="s">
        <v>30</v>
      </c>
      <c r="DP10" s="37" t="s">
        <v>31</v>
      </c>
      <c r="DQ10" s="42" t="s">
        <v>32</v>
      </c>
      <c r="DR10" s="27"/>
      <c r="DS10" s="27"/>
      <c r="DT10" s="43" t="s">
        <v>33</v>
      </c>
      <c r="DU10" s="43" t="s">
        <v>34</v>
      </c>
      <c r="DV10" s="43" t="s">
        <v>33</v>
      </c>
      <c r="DW10" s="43" t="s">
        <v>34</v>
      </c>
      <c r="DX10" s="43" t="s">
        <v>33</v>
      </c>
      <c r="DY10" s="43" t="s">
        <v>34</v>
      </c>
      <c r="DZ10" s="43" t="s">
        <v>33</v>
      </c>
      <c r="EA10" s="43" t="s">
        <v>34</v>
      </c>
      <c r="EB10" s="43" t="s">
        <v>33</v>
      </c>
      <c r="EC10" s="43" t="s">
        <v>34</v>
      </c>
      <c r="ED10" s="43" t="s">
        <v>33</v>
      </c>
      <c r="EE10" s="43" t="s">
        <v>34</v>
      </c>
      <c r="EF10" s="43" t="s">
        <v>33</v>
      </c>
      <c r="EG10" s="43" t="s">
        <v>34</v>
      </c>
      <c r="EH10" s="43" t="s">
        <v>33</v>
      </c>
      <c r="EI10" s="43" t="s">
        <v>34</v>
      </c>
      <c r="EJ10" s="43" t="s">
        <v>33</v>
      </c>
      <c r="EK10" s="43" t="s">
        <v>34</v>
      </c>
      <c r="EL10" s="43" t="s">
        <v>33</v>
      </c>
      <c r="EM10" s="43" t="s">
        <v>34</v>
      </c>
      <c r="EN10" s="43" t="s">
        <v>33</v>
      </c>
      <c r="EO10" s="43" t="s">
        <v>34</v>
      </c>
      <c r="EP10" s="43" t="s">
        <v>33</v>
      </c>
      <c r="EQ10" s="43" t="s">
        <v>34</v>
      </c>
      <c r="ER10" s="43" t="s">
        <v>33</v>
      </c>
      <c r="ES10" s="43" t="s">
        <v>34</v>
      </c>
      <c r="ET10" s="43" t="s">
        <v>33</v>
      </c>
      <c r="EU10" s="43" t="s">
        <v>34</v>
      </c>
      <c r="EV10" s="43" t="s">
        <v>33</v>
      </c>
      <c r="EW10" s="43" t="s">
        <v>34</v>
      </c>
      <c r="EX10" s="43" t="s">
        <v>33</v>
      </c>
      <c r="EY10" s="43" t="s">
        <v>34</v>
      </c>
      <c r="EZ10" s="43" t="s">
        <v>33</v>
      </c>
      <c r="FA10" s="43" t="s">
        <v>34</v>
      </c>
      <c r="FB10" s="43" t="s">
        <v>33</v>
      </c>
      <c r="FC10" s="43" t="s">
        <v>34</v>
      </c>
      <c r="FD10" s="43" t="s">
        <v>33</v>
      </c>
      <c r="FE10" s="43" t="s">
        <v>34</v>
      </c>
      <c r="FF10" s="43" t="s">
        <v>33</v>
      </c>
      <c r="FG10" s="43" t="s">
        <v>34</v>
      </c>
      <c r="FH10" s="43" t="s">
        <v>33</v>
      </c>
      <c r="FI10" s="43" t="s">
        <v>34</v>
      </c>
      <c r="FJ10" s="43" t="s">
        <v>33</v>
      </c>
      <c r="FK10" s="43" t="s">
        <v>34</v>
      </c>
      <c r="FL10" s="43" t="s">
        <v>33</v>
      </c>
      <c r="FM10" s="43" t="s">
        <v>34</v>
      </c>
      <c r="FN10" s="43" t="s">
        <v>33</v>
      </c>
      <c r="FO10" s="43" t="s">
        <v>34</v>
      </c>
    </row>
    <row r="11">
      <c r="A11" s="27"/>
      <c r="B11" s="45" t="s">
        <v>35</v>
      </c>
      <c r="C11" s="46"/>
      <c r="D11" s="47" t="s">
        <v>1</v>
      </c>
      <c r="E11" s="48"/>
      <c r="F11" s="49" t="s">
        <v>36</v>
      </c>
      <c r="G11" s="50">
        <v>2.0</v>
      </c>
      <c r="H11" s="51">
        <v>5.0</v>
      </c>
      <c r="I11" s="52">
        <v>65.0</v>
      </c>
      <c r="J11" s="53">
        <f>IF(D11="Squat",IF(I11&gt;10,MROUND((I11/100*SQMAX),2.5)," "),IF(D11="Bench",IF(I11&gt;10,MROUND((I11/100*BNMAX),2.5)," "),IF(D11="Deadlift",IF(I11&gt;10,MROUND((I11/100*DLMAX),2.5)," ")," ")))</f>
        <v>130</v>
      </c>
      <c r="K11" s="26"/>
      <c r="L11" s="54" t="str">
        <f>IFERROR((J11/VLOOKUP(K11,'RPE vs. %'!$D$3:$P$11,H11+1,FALSE)),"")</f>
        <v/>
      </c>
      <c r="M11" s="55" t="s">
        <v>37</v>
      </c>
      <c r="N11" s="27"/>
      <c r="O11" s="56">
        <f t="shared" ref="O11:O17" si="1">IF(D11="Squat",G11,"")</f>
        <v>2</v>
      </c>
      <c r="P11" s="56">
        <f t="shared" ref="P11:P17" si="2">IF(D11="Squat",G11*H11*J11,"")</f>
        <v>1300</v>
      </c>
      <c r="Q11" s="57" t="str">
        <f t="shared" ref="Q11:Q17" si="3">IF(D11="Bench",G11,"")</f>
        <v/>
      </c>
      <c r="R11" s="57" t="str">
        <f t="shared" ref="R11:R17" si="4">IF(D11="Bench",G11*H11*J11,"")</f>
        <v/>
      </c>
      <c r="S11" s="57" t="str">
        <f t="shared" ref="S11:S17" si="5">IF(D11="Deadlift",G11,"")</f>
        <v/>
      </c>
      <c r="T11" s="57" t="str">
        <f t="shared" ref="T11:T17" si="6">IF(D11="Deadlift",G11*H11*J11,"")</f>
        <v/>
      </c>
      <c r="U11" s="57" t="str">
        <f t="shared" ref="U11:U17" si="7">IF(E11="pecs",G11,"")</f>
        <v/>
      </c>
      <c r="V11" s="57" t="str">
        <f t="shared" ref="V11:V17" si="8">IF(E11="pecs",G11*H11*J11,"")</f>
        <v/>
      </c>
      <c r="W11" s="57" t="str">
        <f t="shared" ref="W11:W17" si="9">IF(E11="dos",G11,"")</f>
        <v/>
      </c>
      <c r="X11" s="57" t="str">
        <f t="shared" ref="X11:X17" si="10">IF(E11="dos",G11*H11*J11,"")</f>
        <v/>
      </c>
      <c r="Y11" s="57" t="str">
        <f t="shared" ref="Y11:Y17" si="11">IF(E11="épaules",G11,"")</f>
        <v/>
      </c>
      <c r="Z11" s="57" t="str">
        <f t="shared" ref="Z11:Z17" si="12">IF(E11="épaules",G11*H11*J11,"")</f>
        <v/>
      </c>
      <c r="AA11" s="57" t="str">
        <f t="shared" ref="AA11:AA17" si="13">IF(E11="biceps",G11,"")</f>
        <v/>
      </c>
      <c r="AB11" s="57" t="str">
        <f t="shared" ref="AB11:AB17" si="14">IF(E11="biceps",G11*H11*J11,"")</f>
        <v/>
      </c>
      <c r="AC11" s="57" t="str">
        <f t="shared" ref="AC11:AC17" si="15">IF(E11="triceps",G11,"")</f>
        <v/>
      </c>
      <c r="AD11" s="57" t="str">
        <f t="shared" ref="AD11:AD17" si="16">IF(E11="triceps",G11*H11*J11,"")</f>
        <v/>
      </c>
      <c r="AE11" s="57" t="str">
        <f t="shared" ref="AE11:AE17" si="17">IF(E11="quads",G11,"")</f>
        <v/>
      </c>
      <c r="AF11" s="57" t="str">
        <f t="shared" ref="AF11:AF17" si="18">IF(E11="quads",G11*H11*J11,"")</f>
        <v/>
      </c>
      <c r="AG11" s="57" t="str">
        <f t="shared" ref="AG11:AG17" si="19">IF(E11="ischios",G11,"")</f>
        <v/>
      </c>
      <c r="AH11" s="57" t="str">
        <f t="shared" ref="AH11:AH17" si="20">IF(E11="ischios",G11*H11*J11,"")</f>
        <v/>
      </c>
      <c r="AI11" s="57" t="str">
        <f t="shared" ref="AI11:AI17" si="21">IF(E11="fessier",G11,"")</f>
        <v/>
      </c>
      <c r="AJ11" s="57" t="str">
        <f t="shared" ref="AJ11:AJ17" si="22">IF(E11="fessier",G11*H11*J11,"")</f>
        <v/>
      </c>
      <c r="AK11" s="57" t="str">
        <f t="shared" ref="AK11:AK17" si="23">IF(E11="mollets",G11,"")</f>
        <v/>
      </c>
      <c r="AL11" s="57" t="str">
        <f t="shared" ref="AL11:AL17" si="24">IF(E11="mollets",G11*H11*J11,"")</f>
        <v/>
      </c>
      <c r="AM11" s="27"/>
      <c r="AN11" s="58" t="s">
        <v>5</v>
      </c>
      <c r="AO11" s="59"/>
      <c r="AP11" s="60" t="s">
        <v>5</v>
      </c>
      <c r="AQ11" s="61">
        <v>3.0</v>
      </c>
      <c r="AR11" s="62">
        <v>3.0</v>
      </c>
      <c r="AS11" s="63">
        <v>80.0</v>
      </c>
      <c r="AT11" s="32">
        <f>IF(AN11="Squat",IF(AS11&gt;10,MROUND((AS11/100*SQMAX),2.5)," "),IF(AN11="Bench",IF(AS11&gt;10,MROUND((AS11/100*BNMAX),2.5)," "),IF(AN11="Deadlift",IF(AS11&gt;10,MROUND((AS11/100*DLMAX),2.5)," ")," ")))</f>
        <v>200</v>
      </c>
      <c r="AU11" s="26"/>
      <c r="AV11" s="54" t="str">
        <f>IFERROR((AT11/VLOOKUP(AU11,'RPE vs. %'!$D$3:$P$11,AR11+1,FALSE)),"")</f>
        <v/>
      </c>
      <c r="AW11" s="55" t="s">
        <v>37</v>
      </c>
      <c r="AX11" s="27"/>
      <c r="AY11" s="57" t="str">
        <f t="shared" ref="AY11:AY17" si="25">IF(AN11="Squat",AQ11,"")</f>
        <v/>
      </c>
      <c r="AZ11" s="57" t="str">
        <f t="shared" ref="AZ11:AZ17" si="26">IF(AN11="Squat",AQ11*AR11*AT11,"")</f>
        <v/>
      </c>
      <c r="BA11" s="57" t="str">
        <f t="shared" ref="BA11:BA17" si="27">IF(AN11="Bench",AQ11,"")</f>
        <v/>
      </c>
      <c r="BB11" s="57" t="str">
        <f t="shared" ref="BB11:BB17" si="28">IF(AN11="Bench",AQ11*AR11*AT11,"")</f>
        <v/>
      </c>
      <c r="BC11" s="56">
        <f t="shared" ref="BC11:BC17" si="29">IF(AN11="Deadlift",AQ11,"")</f>
        <v>3</v>
      </c>
      <c r="BD11" s="56">
        <f t="shared" ref="BD11:BD17" si="30">IF(AN11="Deadlift",AQ11*AR11*AT11,"")</f>
        <v>1800</v>
      </c>
      <c r="BE11" s="57" t="str">
        <f t="shared" ref="BE11:BE17" si="31">IF(AO11="pecs",AQ11,"")</f>
        <v/>
      </c>
      <c r="BF11" s="57" t="str">
        <f t="shared" ref="BF11:BF17" si="32">IF(AO11="pecs",AQ11*AR11*AT11,"")</f>
        <v/>
      </c>
      <c r="BG11" s="57" t="str">
        <f t="shared" ref="BG11:BG17" si="33">IF(AO11="dos",AQ11,"")</f>
        <v/>
      </c>
      <c r="BH11" s="57" t="str">
        <f t="shared" ref="BH11:BH17" si="34">IF(AO11="dos",AQ11*AR11*AT11,"")</f>
        <v/>
      </c>
      <c r="BI11" s="57" t="str">
        <f t="shared" ref="BI11:BI17" si="35">IF(AO11="épaules",AQ11,"")</f>
        <v/>
      </c>
      <c r="BJ11" s="57" t="str">
        <f t="shared" ref="BJ11:BJ17" si="36">IF(AO11="épaules",AQ11*AR11*AT11,"")</f>
        <v/>
      </c>
      <c r="BK11" s="57" t="str">
        <f t="shared" ref="BK11:BK17" si="37">IF(AO11="biceps",AQ11,"")</f>
        <v/>
      </c>
      <c r="BL11" s="57" t="str">
        <f t="shared" ref="BL11:BL17" si="38">IF(AO11="biceps",AQ11*AR11*AT11,"")</f>
        <v/>
      </c>
      <c r="BM11" s="57" t="str">
        <f t="shared" ref="BM11:BM17" si="39">IF(AO11="triceps",AQ11,"")</f>
        <v/>
      </c>
      <c r="BN11" s="57" t="str">
        <f t="shared" ref="BN11:BN17" si="40">IF(AO11="triceps",AQ11*AR11*AT11,"")</f>
        <v/>
      </c>
      <c r="BO11" s="57" t="str">
        <f t="shared" ref="BO11:BO17" si="41">IF(AO11="quads",AQ11,"")</f>
        <v/>
      </c>
      <c r="BP11" s="57" t="str">
        <f t="shared" ref="BP11:BP17" si="42">IF(AO11="quads",AQ11*AR11*AT11,"")</f>
        <v/>
      </c>
      <c r="BQ11" s="57" t="str">
        <f t="shared" ref="BQ11:BQ17" si="43">IF(AO11="ischios",AQ11,"")</f>
        <v/>
      </c>
      <c r="BR11" s="57" t="str">
        <f t="shared" ref="BR11:BR17" si="44">IF(AO11="ischios",AQ11*AR11*AT11,"")</f>
        <v/>
      </c>
      <c r="BS11" s="57" t="str">
        <f t="shared" ref="BS11:BS17" si="45">IF(AO11="fessier",AQ11,"")</f>
        <v/>
      </c>
      <c r="BT11" s="57" t="str">
        <f t="shared" ref="BT11:BT17" si="46">IF(AO11="fessier",AQ11*AR11*AT11,"")</f>
        <v/>
      </c>
      <c r="BU11" s="57" t="str">
        <f t="shared" ref="BU11:BU17" si="47">IF(AO11="mollets",AQ11,"")</f>
        <v/>
      </c>
      <c r="BV11" s="57" t="str">
        <f t="shared" ref="BV11:BV17" si="48">IF(AO11="mollets",AQ11*AR11*AT11,"")</f>
        <v/>
      </c>
      <c r="BW11" s="27"/>
      <c r="BX11" s="47" t="s">
        <v>1</v>
      </c>
      <c r="BY11" s="48"/>
      <c r="BZ11" s="49" t="s">
        <v>38</v>
      </c>
      <c r="CA11" s="50">
        <v>3.0</v>
      </c>
      <c r="CB11" s="51">
        <v>5.0</v>
      </c>
      <c r="CC11" s="64">
        <v>64.0</v>
      </c>
      <c r="CD11" s="53">
        <f>IF(BX11="Squat",IF(CC11&gt;10,MROUND((CC11/100*SQMAX),2.5)," "),IF(BX11="Bench",IF(CC11&gt;10,MROUND((CC11/100*BNMAX),2.5)," "),IF(BX11="Deadlift",IF(CC11&gt;10,MROUND((CC11/100*DLMAX),2.5)," ")," ")))</f>
        <v>127.5</v>
      </c>
      <c r="CE11" s="26"/>
      <c r="CF11" s="54" t="str">
        <f>IFERROR((CD11/VLOOKUP(CE11,'RPE vs. %'!$D$3:$P$11,CB11+1,FALSE)),"")</f>
        <v/>
      </c>
      <c r="CG11" s="55" t="s">
        <v>37</v>
      </c>
      <c r="CH11" s="27"/>
      <c r="CI11" s="56">
        <f t="shared" ref="CI11:CI17" si="49">IF(BX11="Squat",CA11,"")</f>
        <v>3</v>
      </c>
      <c r="CJ11" s="56">
        <f t="shared" ref="CJ11:CJ17" si="50">IF(BX11="Squat",CA11*CB11*CD11,"")</f>
        <v>1912.5</v>
      </c>
      <c r="CK11" s="57" t="str">
        <f t="shared" ref="CK11:CK17" si="51">IF(BX11="Bench",CA11,"")</f>
        <v/>
      </c>
      <c r="CL11" s="57" t="str">
        <f t="shared" ref="CL11:CL17" si="52">IF(BX11="Bench",CA11*CB11*CD11,"")</f>
        <v/>
      </c>
      <c r="CM11" s="57" t="str">
        <f t="shared" ref="CM11:CM17" si="53">IF(BX11="Deadlift",CA11,"")</f>
        <v/>
      </c>
      <c r="CN11" s="57" t="str">
        <f t="shared" ref="CN11:CN17" si="54">IF(BX11="Deadlift",CA11*CB11*CD11,"")</f>
        <v/>
      </c>
      <c r="CO11" s="57" t="str">
        <f t="shared" ref="CO11:CO17" si="55">IF(BY11="pecs",CA11,"")</f>
        <v/>
      </c>
      <c r="CP11" s="57" t="str">
        <f t="shared" ref="CP11:CP17" si="56">IF(BY11="pecs",CA11*CB11*CD11,"")</f>
        <v/>
      </c>
      <c r="CQ11" s="57" t="str">
        <f t="shared" ref="CQ11:CQ17" si="57">IF(BY11="dos",CA11,"")</f>
        <v/>
      </c>
      <c r="CR11" s="57" t="str">
        <f t="shared" ref="CR11:CR17" si="58">IF(BY11="dos",CA11*CB11*CD11,"")</f>
        <v/>
      </c>
      <c r="CS11" s="57" t="str">
        <f t="shared" ref="CS11:CS17" si="59">IF(BY11="épaules",CA11,"")</f>
        <v/>
      </c>
      <c r="CT11" s="57" t="str">
        <f t="shared" ref="CT11:CT17" si="60">IF(BY11="épaules",CA11*CB11*CD11,"")</f>
        <v/>
      </c>
      <c r="CU11" s="57" t="str">
        <f t="shared" ref="CU11:CU17" si="61">IF(BY11="biceps",CA11,"")</f>
        <v/>
      </c>
      <c r="CV11" s="57" t="str">
        <f t="shared" ref="CV11:CV17" si="62">IF(BY11="biceps",CA11*CB11*CD11,"")</f>
        <v/>
      </c>
      <c r="CW11" s="57" t="str">
        <f t="shared" ref="CW11:CW17" si="63">IF(BY11="triceps",CA11,"")</f>
        <v/>
      </c>
      <c r="CX11" s="57" t="str">
        <f t="shared" ref="CX11:CX17" si="64">IF(BY11="triceps",CA11*CB11*CD11,"")</f>
        <v/>
      </c>
      <c r="CY11" s="57" t="str">
        <f t="shared" ref="CY11:CY17" si="65">IF(BY11="quads",CA11,"")</f>
        <v/>
      </c>
      <c r="CZ11" s="57" t="str">
        <f t="shared" ref="CZ11:CZ17" si="66">IF(BY11="quads",CA11*CB11*CD11,"")</f>
        <v/>
      </c>
      <c r="DA11" s="57" t="str">
        <f t="shared" ref="DA11:DA17" si="67">IF(BY11="ischios",CA11,"")</f>
        <v/>
      </c>
      <c r="DB11" s="57" t="str">
        <f t="shared" ref="DB11:DB17" si="68">IF(BY11="ischios",CA11*CB11*CD11,"")</f>
        <v/>
      </c>
      <c r="DC11" s="57" t="str">
        <f t="shared" ref="DC11:DC17" si="69">IF(BY11="fessier",CA11,"")</f>
        <v/>
      </c>
      <c r="DD11" s="57" t="str">
        <f t="shared" ref="DD11:DD17" si="70">IF(BY11="fessier",CA11*CB11*CD11,"")</f>
        <v/>
      </c>
      <c r="DE11" s="57" t="str">
        <f t="shared" ref="DE11:DE17" si="71">IF(BY11="mollets",CA11,"")</f>
        <v/>
      </c>
      <c r="DF11" s="57" t="str">
        <f t="shared" ref="DF11:DF17" si="72">IF(BY11="mollets",CA11*CB11*CD11,"")</f>
        <v/>
      </c>
      <c r="DG11" s="27"/>
      <c r="DH11" s="47" t="s">
        <v>1</v>
      </c>
      <c r="DI11" s="48"/>
      <c r="DJ11" s="49" t="s">
        <v>1</v>
      </c>
      <c r="DK11" s="50">
        <v>3.0</v>
      </c>
      <c r="DL11" s="51">
        <v>3.0</v>
      </c>
      <c r="DM11" s="65">
        <v>82.0</v>
      </c>
      <c r="DN11" s="53">
        <f>IF(DH11="Squat",IF(DM11&gt;10,MROUND((DM11/100*SQMAX),2.5)," "),IF(DH11="Bench",IF(DM11&gt;10,MROUND((DM11/100*BNMAX),2.5)," "),IF(DH11="Deadlift",IF(DM11&gt;10,MROUND((DM11/100*DLMAX),2.5)," ")," ")))</f>
        <v>165</v>
      </c>
      <c r="DO11" s="26"/>
      <c r="DP11" s="54" t="str">
        <f>IFERROR((DN11/VLOOKUP(DO11,'RPE vs. %'!$D$3:$P$11,DL11+1,FALSE)),"")</f>
        <v/>
      </c>
      <c r="DQ11" s="55" t="s">
        <v>37</v>
      </c>
      <c r="DR11" s="27"/>
      <c r="DS11" s="27"/>
      <c r="DT11" s="56">
        <f t="shared" ref="DT11:DT17" si="73">IF(DH11="Squat",DK11,"")</f>
        <v>3</v>
      </c>
      <c r="DU11" s="56">
        <f t="shared" ref="DU11:DU17" si="74">IF(DH11="Squat",DK11*DL11*DN11,"")</f>
        <v>1485</v>
      </c>
      <c r="DV11" s="57" t="str">
        <f t="shared" ref="DV11:DV17" si="75">IF(DH11="Bench",DK11,"")</f>
        <v/>
      </c>
      <c r="DW11" s="57" t="str">
        <f t="shared" ref="DW11:DW17" si="76">IF(DH11="Bench",DK11*DL11*DN11,"")</f>
        <v/>
      </c>
      <c r="DX11" s="57" t="str">
        <f t="shared" ref="DX11:DX17" si="77">IF(DH11="Deadlift",DK11,"")</f>
        <v/>
      </c>
      <c r="DY11" s="57" t="str">
        <f t="shared" ref="DY11:DY17" si="78">IF(DH11="Deadlift",DK11*DL11*DN11,"")</f>
        <v/>
      </c>
      <c r="DZ11" s="57" t="str">
        <f t="shared" ref="DZ11:DZ17" si="79">IF(DI11="pecs",DK11,"")</f>
        <v/>
      </c>
      <c r="EA11" s="57" t="str">
        <f t="shared" ref="EA11:EA17" si="80">IF(DI11="pecs",DK11*DL11*DN11,"")</f>
        <v/>
      </c>
      <c r="EB11" s="57" t="str">
        <f t="shared" ref="EB11:EB17" si="81">IF(DI11="dos",DK11,"")</f>
        <v/>
      </c>
      <c r="EC11" s="57" t="str">
        <f t="shared" ref="EC11:EC17" si="82">IF(DI11="dos",DK11*DL11*DN11,"")</f>
        <v/>
      </c>
      <c r="ED11" s="57" t="str">
        <f t="shared" ref="ED11:ED17" si="83">IF(DI11="épaules",DK11,"")</f>
        <v/>
      </c>
      <c r="EE11" s="57" t="str">
        <f t="shared" ref="EE11:EE17" si="84">IF(DI11="épaules",DK11*DL11*DN11,"")</f>
        <v/>
      </c>
      <c r="EF11" s="57" t="str">
        <f t="shared" ref="EF11:EF17" si="85">IF(DI11="biceps",DK11,"")</f>
        <v/>
      </c>
      <c r="EG11" s="57" t="str">
        <f t="shared" ref="EG11:EG17" si="86">IF(DI11="biceps",DK11*DL11*DN11,"")</f>
        <v/>
      </c>
      <c r="EH11" s="57" t="str">
        <f t="shared" ref="EH11:EH17" si="87">IF(DI11="triceps",DK11,"")</f>
        <v/>
      </c>
      <c r="EI11" s="57" t="str">
        <f t="shared" ref="EI11:EI17" si="88">IF(DI11="triceps",DK11*DL11*DN11,"")</f>
        <v/>
      </c>
      <c r="EJ11" s="57" t="str">
        <f t="shared" ref="EJ11:EJ17" si="89">IF(DI11="quads",DK11,"")</f>
        <v/>
      </c>
      <c r="EK11" s="57" t="str">
        <f t="shared" ref="EK11:EK17" si="90">IF(DI11="quads",DK11*DL11*DN11,"")</f>
        <v/>
      </c>
      <c r="EL11" s="57" t="str">
        <f t="shared" ref="EL11:EL17" si="91">IF(DI11="ischios",DK11,"")</f>
        <v/>
      </c>
      <c r="EM11" s="57" t="str">
        <f t="shared" ref="EM11:EM17" si="92">IF(DI11="ischios",DK11*DL11*DN11,"")</f>
        <v/>
      </c>
      <c r="EN11" s="57" t="str">
        <f t="shared" ref="EN11:EN17" si="93">IF(DI11="fessier",DK11,"")</f>
        <v/>
      </c>
      <c r="EO11" s="57" t="str">
        <f t="shared" ref="EO11:EO17" si="94">IF(DI11="fessier",DK11*DL11*DN11,"")</f>
        <v/>
      </c>
      <c r="EP11" s="57" t="str">
        <f t="shared" ref="EP11:EP17" si="95">IF(DI11="mollets",DK11,"")</f>
        <v/>
      </c>
      <c r="EQ11" s="57" t="str">
        <f t="shared" ref="EQ11:EQ17" si="96">IF(DI11="mollets",DK11*DL11*DN11,"")</f>
        <v/>
      </c>
      <c r="ER11" s="56" t="str">
        <f t="shared" ref="ER11:ER17" si="97">IF(#REF!="Squat",#REF!,"")</f>
        <v>#REF!</v>
      </c>
      <c r="ES11" s="56" t="str">
        <f t="shared" ref="ES11:ES17" si="98">IF(#REF!="Squat",#REF!*#REF!*#REF!,"")</f>
        <v>#REF!</v>
      </c>
      <c r="ET11" s="56" t="str">
        <f t="shared" ref="ET11:ET17" si="99">IF(#REF!="Bench",#REF!,"")</f>
        <v>#REF!</v>
      </c>
      <c r="EU11" s="56" t="str">
        <f t="shared" ref="EU11:EU17" si="100">IF(#REF!="Bench",#REF!*#REF!*#REF!,"")</f>
        <v>#REF!</v>
      </c>
      <c r="EV11" s="56" t="str">
        <f t="shared" ref="EV11:EV17" si="101">IF(#REF!="Deadlift",#REF!,"")</f>
        <v>#REF!</v>
      </c>
      <c r="EW11" s="56" t="str">
        <f t="shared" ref="EW11:EW17" si="102">IF(#REF!="Deadlift",#REF!*#REF!*#REF!,"")</f>
        <v>#REF!</v>
      </c>
      <c r="EX11" s="56" t="str">
        <f t="shared" ref="EX11:EX17" si="103">IF(#REF!="pecs",#REF!,"")</f>
        <v>#REF!</v>
      </c>
      <c r="EY11" s="56" t="str">
        <f t="shared" ref="EY11:EY17" si="104">IF(#REF!="pecs",#REF!*#REF!*#REF!,"")</f>
        <v>#REF!</v>
      </c>
      <c r="EZ11" s="56" t="str">
        <f t="shared" ref="EZ11:EZ17" si="105">IF(#REF!="dos",#REF!,"")</f>
        <v>#REF!</v>
      </c>
      <c r="FA11" s="56" t="str">
        <f t="shared" ref="FA11:FA17" si="106">IF(#REF!="dos",#REF!*#REF!*#REF!,"")</f>
        <v>#REF!</v>
      </c>
      <c r="FB11" s="56" t="str">
        <f t="shared" ref="FB11:FB17" si="107">IF(#REF!="épaules",#REF!,"")</f>
        <v>#REF!</v>
      </c>
      <c r="FC11" s="56" t="str">
        <f t="shared" ref="FC11:FC17" si="108">IF(#REF!="épaules",#REF!*#REF!*#REF!,"")</f>
        <v>#REF!</v>
      </c>
      <c r="FD11" s="56" t="str">
        <f t="shared" ref="FD11:FD17" si="109">IF(#REF!="biceps",#REF!,"")</f>
        <v>#REF!</v>
      </c>
      <c r="FE11" s="56" t="str">
        <f t="shared" ref="FE11:FE17" si="110">IF(#REF!="biceps",#REF!*#REF!*#REF!,"")</f>
        <v>#REF!</v>
      </c>
      <c r="FF11" s="56" t="str">
        <f t="shared" ref="FF11:FF17" si="111">IF(#REF!="triceps",#REF!,"")</f>
        <v>#REF!</v>
      </c>
      <c r="FG11" s="56" t="str">
        <f t="shared" ref="FG11:FG17" si="112">IF(#REF!="triceps",#REF!*#REF!*#REF!,"")</f>
        <v>#REF!</v>
      </c>
      <c r="FH11" s="56" t="str">
        <f t="shared" ref="FH11:FH17" si="113">IF(#REF!="quads",#REF!,"")</f>
        <v>#REF!</v>
      </c>
      <c r="FI11" s="56" t="str">
        <f t="shared" ref="FI11:FI17" si="114">IF(#REF!="quads",#REF!*#REF!*#REF!,"")</f>
        <v>#REF!</v>
      </c>
      <c r="FJ11" s="56" t="str">
        <f t="shared" ref="FJ11:FJ17" si="115">IF(#REF!="ischios",#REF!,"")</f>
        <v>#REF!</v>
      </c>
      <c r="FK11" s="56" t="str">
        <f t="shared" ref="FK11:FK17" si="116">IF(#REF!="ischios",#REF!*#REF!*#REF!,"")</f>
        <v>#REF!</v>
      </c>
      <c r="FL11" s="56" t="str">
        <f t="shared" ref="FL11:FL17" si="117">IF(#REF!="fessier",#REF!,"")</f>
        <v>#REF!</v>
      </c>
      <c r="FM11" s="56" t="str">
        <f t="shared" ref="FM11:FM17" si="118">IF(#REF!="fessier",#REF!*#REF!*#REF!,"")</f>
        <v>#REF!</v>
      </c>
      <c r="FN11" s="56" t="str">
        <f t="shared" ref="FN11:FN17" si="119">IF(#REF!="mollets",#REF!,"")</f>
        <v>#REF!</v>
      </c>
      <c r="FO11" s="56" t="str">
        <f t="shared" ref="FO11:FO17" si="120">IF(#REF!="mollets",#REF!*#REF!*#REF!,"")</f>
        <v>#REF!</v>
      </c>
    </row>
    <row r="12">
      <c r="A12" s="46"/>
      <c r="C12" s="46"/>
      <c r="D12" s="47" t="s">
        <v>1</v>
      </c>
      <c r="E12" s="48"/>
      <c r="F12" s="49" t="s">
        <v>1</v>
      </c>
      <c r="G12" s="50">
        <v>1.0</v>
      </c>
      <c r="H12" s="51">
        <v>5.0</v>
      </c>
      <c r="I12" s="64">
        <v>72.0</v>
      </c>
      <c r="J12" s="53">
        <f>IF(D12="Squat",IF(I12&gt;10,MROUND((I12/100*SQMAX),2.5)," "),IF(D12="Bench",IF(I12&gt;10,MROUND((I12/100*BNMAX),2.5)," "),IF(D12="Deadlift",IF(I12&gt;10,MROUND((I12/100*DLMAX),2.5)," ")," ")))</f>
        <v>145</v>
      </c>
      <c r="K12" s="26"/>
      <c r="L12" s="66" t="str">
        <f>IFERROR((J12/VLOOKUP(K12,'RPE vs. %'!$D$3:$P$11,H12+1,FALSE)),"")</f>
        <v/>
      </c>
      <c r="M12" s="67"/>
      <c r="N12" s="27"/>
      <c r="O12" s="56">
        <f t="shared" si="1"/>
        <v>1</v>
      </c>
      <c r="P12" s="56">
        <f t="shared" si="2"/>
        <v>725</v>
      </c>
      <c r="Q12" s="57" t="str">
        <f t="shared" si="3"/>
        <v/>
      </c>
      <c r="R12" s="57" t="str">
        <f t="shared" si="4"/>
        <v/>
      </c>
      <c r="S12" s="57" t="str">
        <f t="shared" si="5"/>
        <v/>
      </c>
      <c r="T12" s="57" t="str">
        <f t="shared" si="6"/>
        <v/>
      </c>
      <c r="U12" s="57" t="str">
        <f t="shared" si="7"/>
        <v/>
      </c>
      <c r="V12" s="57" t="str">
        <f t="shared" si="8"/>
        <v/>
      </c>
      <c r="W12" s="57" t="str">
        <f t="shared" si="9"/>
        <v/>
      </c>
      <c r="X12" s="57" t="str">
        <f t="shared" si="10"/>
        <v/>
      </c>
      <c r="Y12" s="57" t="str">
        <f t="shared" si="11"/>
        <v/>
      </c>
      <c r="Z12" s="57" t="str">
        <f t="shared" si="12"/>
        <v/>
      </c>
      <c r="AA12" s="57" t="str">
        <f t="shared" si="13"/>
        <v/>
      </c>
      <c r="AB12" s="57" t="str">
        <f t="shared" si="14"/>
        <v/>
      </c>
      <c r="AC12" s="57" t="str">
        <f t="shared" si="15"/>
        <v/>
      </c>
      <c r="AD12" s="57" t="str">
        <f t="shared" si="16"/>
        <v/>
      </c>
      <c r="AE12" s="57" t="str">
        <f t="shared" si="17"/>
        <v/>
      </c>
      <c r="AF12" s="57" t="str">
        <f t="shared" si="18"/>
        <v/>
      </c>
      <c r="AG12" s="57" t="str">
        <f t="shared" si="19"/>
        <v/>
      </c>
      <c r="AH12" s="57" t="str">
        <f t="shared" si="20"/>
        <v/>
      </c>
      <c r="AI12" s="57" t="str">
        <f t="shared" si="21"/>
        <v/>
      </c>
      <c r="AJ12" s="57" t="str">
        <f t="shared" si="22"/>
        <v/>
      </c>
      <c r="AK12" s="57" t="str">
        <f t="shared" si="23"/>
        <v/>
      </c>
      <c r="AL12" s="57" t="str">
        <f t="shared" si="24"/>
        <v/>
      </c>
      <c r="AM12" s="27"/>
      <c r="AN12" s="58" t="s">
        <v>5</v>
      </c>
      <c r="AO12" s="59"/>
      <c r="AP12" s="60" t="s">
        <v>39</v>
      </c>
      <c r="AQ12" s="61">
        <v>2.0</v>
      </c>
      <c r="AR12" s="62">
        <v>5.0</v>
      </c>
      <c r="AS12" s="63">
        <v>60.0</v>
      </c>
      <c r="AT12" s="32">
        <f>IF(AN12="Squat",IF(AS12&gt;10,MROUND((AS12/100*SQMAX),2.5)," "),IF(AN12="Bench",IF(AS12&gt;10,MROUND((AS12/100*BNMAX),2.5)," "),IF(AN12="Deadlift",IF(AS12&gt;10,MROUND((AS12/100*DLMAX),2.5)," ")," ")))</f>
        <v>150</v>
      </c>
      <c r="AU12" s="68">
        <v>6.0</v>
      </c>
      <c r="AV12" s="66" t="str">
        <f>IFERROR((AT12/VLOOKUP(AU12,'RPE vs. %'!$D$3:$P$11,AR12+1,FALSE)),"")</f>
        <v/>
      </c>
      <c r="AW12" s="67"/>
      <c r="AX12" s="27"/>
      <c r="AY12" s="57" t="str">
        <f t="shared" si="25"/>
        <v/>
      </c>
      <c r="AZ12" s="57" t="str">
        <f t="shared" si="26"/>
        <v/>
      </c>
      <c r="BA12" s="57" t="str">
        <f t="shared" si="27"/>
        <v/>
      </c>
      <c r="BB12" s="57" t="str">
        <f t="shared" si="28"/>
        <v/>
      </c>
      <c r="BC12" s="56">
        <f t="shared" si="29"/>
        <v>2</v>
      </c>
      <c r="BD12" s="56">
        <f t="shared" si="30"/>
        <v>1500</v>
      </c>
      <c r="BE12" s="57" t="str">
        <f t="shared" si="31"/>
        <v/>
      </c>
      <c r="BF12" s="57" t="str">
        <f t="shared" si="32"/>
        <v/>
      </c>
      <c r="BG12" s="57" t="str">
        <f t="shared" si="33"/>
        <v/>
      </c>
      <c r="BH12" s="57" t="str">
        <f t="shared" si="34"/>
        <v/>
      </c>
      <c r="BI12" s="57" t="str">
        <f t="shared" si="35"/>
        <v/>
      </c>
      <c r="BJ12" s="57" t="str">
        <f t="shared" si="36"/>
        <v/>
      </c>
      <c r="BK12" s="57" t="str">
        <f t="shared" si="37"/>
        <v/>
      </c>
      <c r="BL12" s="57" t="str">
        <f t="shared" si="38"/>
        <v/>
      </c>
      <c r="BM12" s="57" t="str">
        <f t="shared" si="39"/>
        <v/>
      </c>
      <c r="BN12" s="57" t="str">
        <f t="shared" si="40"/>
        <v/>
      </c>
      <c r="BO12" s="57" t="str">
        <f t="shared" si="41"/>
        <v/>
      </c>
      <c r="BP12" s="57" t="str">
        <f t="shared" si="42"/>
        <v/>
      </c>
      <c r="BQ12" s="57" t="str">
        <f t="shared" si="43"/>
        <v/>
      </c>
      <c r="BR12" s="57" t="str">
        <f t="shared" si="44"/>
        <v/>
      </c>
      <c r="BS12" s="57" t="str">
        <f t="shared" si="45"/>
        <v/>
      </c>
      <c r="BT12" s="57" t="str">
        <f t="shared" si="46"/>
        <v/>
      </c>
      <c r="BU12" s="57" t="str">
        <f t="shared" si="47"/>
        <v/>
      </c>
      <c r="BV12" s="57" t="str">
        <f t="shared" si="48"/>
        <v/>
      </c>
      <c r="BW12" s="27"/>
      <c r="BX12" s="69" t="s">
        <v>4</v>
      </c>
      <c r="BY12" s="70"/>
      <c r="BZ12" s="71" t="s">
        <v>4</v>
      </c>
      <c r="CA12" s="72">
        <v>4.0</v>
      </c>
      <c r="CB12" s="73">
        <v>2.0</v>
      </c>
      <c r="CC12" s="74">
        <v>90.0</v>
      </c>
      <c r="CD12" s="75">
        <f>IF(BX12="Squat",IF(CC12&gt;10,MROUND((CC12/100*SQMAX),2.5)," "),IF(BX12="Bench",IF(CC12&gt;10,MROUND((CC12/100*BNMAX),2.5)," "),IF(BX12="Deadlift",IF(CC12&gt;10,MROUND((CC12/100*DLMAX),2.5)," ")," ")))</f>
        <v>125</v>
      </c>
      <c r="CE12" s="26"/>
      <c r="CF12" s="66" t="str">
        <f>IFERROR((CD12/VLOOKUP(CE12,'RPE vs. %'!$D$3:$P$11,CB12+1,FALSE)),"")</f>
        <v/>
      </c>
      <c r="CG12" s="67"/>
      <c r="CH12" s="27"/>
      <c r="CI12" s="57" t="str">
        <f t="shared" si="49"/>
        <v/>
      </c>
      <c r="CJ12" s="57" t="str">
        <f t="shared" si="50"/>
        <v/>
      </c>
      <c r="CK12" s="56">
        <f t="shared" si="51"/>
        <v>4</v>
      </c>
      <c r="CL12" s="56">
        <f t="shared" si="52"/>
        <v>1000</v>
      </c>
      <c r="CM12" s="57" t="str">
        <f t="shared" si="53"/>
        <v/>
      </c>
      <c r="CN12" s="57" t="str">
        <f t="shared" si="54"/>
        <v/>
      </c>
      <c r="CO12" s="57" t="str">
        <f t="shared" si="55"/>
        <v/>
      </c>
      <c r="CP12" s="57" t="str">
        <f t="shared" si="56"/>
        <v/>
      </c>
      <c r="CQ12" s="57" t="str">
        <f t="shared" si="57"/>
        <v/>
      </c>
      <c r="CR12" s="57" t="str">
        <f t="shared" si="58"/>
        <v/>
      </c>
      <c r="CS12" s="57" t="str">
        <f t="shared" si="59"/>
        <v/>
      </c>
      <c r="CT12" s="57" t="str">
        <f t="shared" si="60"/>
        <v/>
      </c>
      <c r="CU12" s="57" t="str">
        <f t="shared" si="61"/>
        <v/>
      </c>
      <c r="CV12" s="57" t="str">
        <f t="shared" si="62"/>
        <v/>
      </c>
      <c r="CW12" s="57" t="str">
        <f t="shared" si="63"/>
        <v/>
      </c>
      <c r="CX12" s="57" t="str">
        <f t="shared" si="64"/>
        <v/>
      </c>
      <c r="CY12" s="57" t="str">
        <f t="shared" si="65"/>
        <v/>
      </c>
      <c r="CZ12" s="57" t="str">
        <f t="shared" si="66"/>
        <v/>
      </c>
      <c r="DA12" s="57" t="str">
        <f t="shared" si="67"/>
        <v/>
      </c>
      <c r="DB12" s="57" t="str">
        <f t="shared" si="68"/>
        <v/>
      </c>
      <c r="DC12" s="57" t="str">
        <f t="shared" si="69"/>
        <v/>
      </c>
      <c r="DD12" s="57" t="str">
        <f t="shared" si="70"/>
        <v/>
      </c>
      <c r="DE12" s="57" t="str">
        <f t="shared" si="71"/>
        <v/>
      </c>
      <c r="DF12" s="57" t="str">
        <f t="shared" si="72"/>
        <v/>
      </c>
      <c r="DG12" s="27"/>
      <c r="DH12" s="69" t="s">
        <v>4</v>
      </c>
      <c r="DI12" s="70"/>
      <c r="DJ12" s="71" t="s">
        <v>4</v>
      </c>
      <c r="DK12" s="72">
        <v>3.0</v>
      </c>
      <c r="DL12" s="73">
        <v>3.0</v>
      </c>
      <c r="DM12" s="76">
        <v>82.0</v>
      </c>
      <c r="DN12" s="75">
        <f>IF(DH12="Squat",IF(DM12&gt;10,MROUND((DM12/100*SQMAX),2.5)," "),IF(DH12="Bench",IF(DM12&gt;10,MROUND((DM12/100*BNMAX),2.5)," "),IF(DH12="Deadlift",IF(DM12&gt;10,MROUND((DM12/100*DLMAX),2.5)," ")," ")))</f>
        <v>115</v>
      </c>
      <c r="DO12" s="26"/>
      <c r="DP12" s="66" t="str">
        <f>IFERROR((DN12/VLOOKUP(DO12,'RPE vs. %'!$D$3:$P$11,DL12+1,FALSE)),"")</f>
        <v/>
      </c>
      <c r="DQ12" s="67"/>
      <c r="DR12" s="27"/>
      <c r="DS12" s="27"/>
      <c r="DT12" s="57" t="str">
        <f t="shared" si="73"/>
        <v/>
      </c>
      <c r="DU12" s="57" t="str">
        <f t="shared" si="74"/>
        <v/>
      </c>
      <c r="DV12" s="56">
        <f t="shared" si="75"/>
        <v>3</v>
      </c>
      <c r="DW12" s="56">
        <f t="shared" si="76"/>
        <v>1035</v>
      </c>
      <c r="DX12" s="57" t="str">
        <f t="shared" si="77"/>
        <v/>
      </c>
      <c r="DY12" s="57" t="str">
        <f t="shared" si="78"/>
        <v/>
      </c>
      <c r="DZ12" s="57" t="str">
        <f t="shared" si="79"/>
        <v/>
      </c>
      <c r="EA12" s="57" t="str">
        <f t="shared" si="80"/>
        <v/>
      </c>
      <c r="EB12" s="57" t="str">
        <f t="shared" si="81"/>
        <v/>
      </c>
      <c r="EC12" s="57" t="str">
        <f t="shared" si="82"/>
        <v/>
      </c>
      <c r="ED12" s="57" t="str">
        <f t="shared" si="83"/>
        <v/>
      </c>
      <c r="EE12" s="57" t="str">
        <f t="shared" si="84"/>
        <v/>
      </c>
      <c r="EF12" s="57" t="str">
        <f t="shared" si="85"/>
        <v/>
      </c>
      <c r="EG12" s="57" t="str">
        <f t="shared" si="86"/>
        <v/>
      </c>
      <c r="EH12" s="57" t="str">
        <f t="shared" si="87"/>
        <v/>
      </c>
      <c r="EI12" s="57" t="str">
        <f t="shared" si="88"/>
        <v/>
      </c>
      <c r="EJ12" s="57" t="str">
        <f t="shared" si="89"/>
        <v/>
      </c>
      <c r="EK12" s="57" t="str">
        <f t="shared" si="90"/>
        <v/>
      </c>
      <c r="EL12" s="57" t="str">
        <f t="shared" si="91"/>
        <v/>
      </c>
      <c r="EM12" s="57" t="str">
        <f t="shared" si="92"/>
        <v/>
      </c>
      <c r="EN12" s="57" t="str">
        <f t="shared" si="93"/>
        <v/>
      </c>
      <c r="EO12" s="57" t="str">
        <f t="shared" si="94"/>
        <v/>
      </c>
      <c r="EP12" s="57" t="str">
        <f t="shared" si="95"/>
        <v/>
      </c>
      <c r="EQ12" s="57" t="str">
        <f t="shared" si="96"/>
        <v/>
      </c>
      <c r="ER12" s="56" t="str">
        <f t="shared" si="97"/>
        <v>#REF!</v>
      </c>
      <c r="ES12" s="56" t="str">
        <f t="shared" si="98"/>
        <v>#REF!</v>
      </c>
      <c r="ET12" s="56" t="str">
        <f t="shared" si="99"/>
        <v>#REF!</v>
      </c>
      <c r="EU12" s="56" t="str">
        <f t="shared" si="100"/>
        <v>#REF!</v>
      </c>
      <c r="EV12" s="56" t="str">
        <f t="shared" si="101"/>
        <v>#REF!</v>
      </c>
      <c r="EW12" s="56" t="str">
        <f t="shared" si="102"/>
        <v>#REF!</v>
      </c>
      <c r="EX12" s="56" t="str">
        <f t="shared" si="103"/>
        <v>#REF!</v>
      </c>
      <c r="EY12" s="56" t="str">
        <f t="shared" si="104"/>
        <v>#REF!</v>
      </c>
      <c r="EZ12" s="56" t="str">
        <f t="shared" si="105"/>
        <v>#REF!</v>
      </c>
      <c r="FA12" s="56" t="str">
        <f t="shared" si="106"/>
        <v>#REF!</v>
      </c>
      <c r="FB12" s="56" t="str">
        <f t="shared" si="107"/>
        <v>#REF!</v>
      </c>
      <c r="FC12" s="56" t="str">
        <f t="shared" si="108"/>
        <v>#REF!</v>
      </c>
      <c r="FD12" s="56" t="str">
        <f t="shared" si="109"/>
        <v>#REF!</v>
      </c>
      <c r="FE12" s="56" t="str">
        <f t="shared" si="110"/>
        <v>#REF!</v>
      </c>
      <c r="FF12" s="56" t="str">
        <f t="shared" si="111"/>
        <v>#REF!</v>
      </c>
      <c r="FG12" s="56" t="str">
        <f t="shared" si="112"/>
        <v>#REF!</v>
      </c>
      <c r="FH12" s="56" t="str">
        <f t="shared" si="113"/>
        <v>#REF!</v>
      </c>
      <c r="FI12" s="56" t="str">
        <f t="shared" si="114"/>
        <v>#REF!</v>
      </c>
      <c r="FJ12" s="56" t="str">
        <f t="shared" si="115"/>
        <v>#REF!</v>
      </c>
      <c r="FK12" s="56" t="str">
        <f t="shared" si="116"/>
        <v>#REF!</v>
      </c>
      <c r="FL12" s="56" t="str">
        <f t="shared" si="117"/>
        <v>#REF!</v>
      </c>
      <c r="FM12" s="56" t="str">
        <f t="shared" si="118"/>
        <v>#REF!</v>
      </c>
      <c r="FN12" s="56" t="str">
        <f t="shared" si="119"/>
        <v>#REF!</v>
      </c>
      <c r="FO12" s="56" t="str">
        <f t="shared" si="120"/>
        <v>#REF!</v>
      </c>
    </row>
    <row r="13">
      <c r="A13" s="46"/>
      <c r="C13" s="46"/>
      <c r="D13" s="69" t="s">
        <v>4</v>
      </c>
      <c r="E13" s="70"/>
      <c r="F13" s="71" t="s">
        <v>40</v>
      </c>
      <c r="G13" s="72">
        <v>3.0</v>
      </c>
      <c r="H13" s="73">
        <v>8.0</v>
      </c>
      <c r="I13" s="74">
        <v>70.0</v>
      </c>
      <c r="J13" s="75">
        <f>IF(D13="Squat",IF(I13&gt;10,MROUND((I13/100*SQMAX),2.5)," "),IF(D13="Bench",IF(I13&gt;10,MROUND((I13/100*BNMAX),2.5)," "),IF(D13="Deadlift",IF(I13&gt;10,MROUND((I13/100*DLMAX),2.5)," ")," ")))</f>
        <v>97.5</v>
      </c>
      <c r="K13" s="26"/>
      <c r="L13" s="66" t="str">
        <f>IFERROR((J13/VLOOKUP(K13,'RPE vs. %'!$D$3:$P$11,H13+1,FALSE)),"")</f>
        <v/>
      </c>
      <c r="M13" s="67"/>
      <c r="N13" s="27"/>
      <c r="O13" s="57" t="str">
        <f t="shared" si="1"/>
        <v/>
      </c>
      <c r="P13" s="57" t="str">
        <f t="shared" si="2"/>
        <v/>
      </c>
      <c r="Q13" s="56">
        <f t="shared" si="3"/>
        <v>3</v>
      </c>
      <c r="R13" s="56">
        <f t="shared" si="4"/>
        <v>2340</v>
      </c>
      <c r="S13" s="57" t="str">
        <f t="shared" si="5"/>
        <v/>
      </c>
      <c r="T13" s="57" t="str">
        <f t="shared" si="6"/>
        <v/>
      </c>
      <c r="U13" s="57" t="str">
        <f t="shared" si="7"/>
        <v/>
      </c>
      <c r="V13" s="57" t="str">
        <f t="shared" si="8"/>
        <v/>
      </c>
      <c r="W13" s="57" t="str">
        <f t="shared" si="9"/>
        <v/>
      </c>
      <c r="X13" s="57" t="str">
        <f t="shared" si="10"/>
        <v/>
      </c>
      <c r="Y13" s="57" t="str">
        <f t="shared" si="11"/>
        <v/>
      </c>
      <c r="Z13" s="57" t="str">
        <f t="shared" si="12"/>
        <v/>
      </c>
      <c r="AA13" s="57" t="str">
        <f t="shared" si="13"/>
        <v/>
      </c>
      <c r="AB13" s="57" t="str">
        <f t="shared" si="14"/>
        <v/>
      </c>
      <c r="AC13" s="57" t="str">
        <f t="shared" si="15"/>
        <v/>
      </c>
      <c r="AD13" s="57" t="str">
        <f t="shared" si="16"/>
        <v/>
      </c>
      <c r="AE13" s="57" t="str">
        <f t="shared" si="17"/>
        <v/>
      </c>
      <c r="AF13" s="57" t="str">
        <f t="shared" si="18"/>
        <v/>
      </c>
      <c r="AG13" s="57" t="str">
        <f t="shared" si="19"/>
        <v/>
      </c>
      <c r="AH13" s="57" t="str">
        <f t="shared" si="20"/>
        <v/>
      </c>
      <c r="AI13" s="57" t="str">
        <f t="shared" si="21"/>
        <v/>
      </c>
      <c r="AJ13" s="57" t="str">
        <f t="shared" si="22"/>
        <v/>
      </c>
      <c r="AK13" s="57" t="str">
        <f t="shared" si="23"/>
        <v/>
      </c>
      <c r="AL13" s="57" t="str">
        <f t="shared" si="24"/>
        <v/>
      </c>
      <c r="AM13" s="27"/>
      <c r="AN13" s="69" t="s">
        <v>4</v>
      </c>
      <c r="AO13" s="70"/>
      <c r="AP13" s="71" t="s">
        <v>41</v>
      </c>
      <c r="AQ13" s="72">
        <v>3.0</v>
      </c>
      <c r="AR13" s="73">
        <v>5.0</v>
      </c>
      <c r="AS13" s="74">
        <f>80*0.8</f>
        <v>64</v>
      </c>
      <c r="AT13" s="75">
        <f>IF(AN13="Squat",IF(AS13&gt;10,MROUND((AS13/100*SQMAX),2.5)," "),IF(AN13="Bench",IF(AS13&gt;10,MROUND((AS13/100*BNMAX),2.5)," "),IF(AN13="Deadlift",IF(AS13&gt;10,MROUND((AS13/100*DLMAX),2.5)," ")," ")))</f>
        <v>90</v>
      </c>
      <c r="AU13" s="26"/>
      <c r="AV13" s="66" t="str">
        <f>IFERROR((AT13/VLOOKUP(AU13,'RPE vs. %'!$D$3:$P$11,AR13+1,FALSE)),"")</f>
        <v/>
      </c>
      <c r="AW13" s="67"/>
      <c r="AX13" s="27"/>
      <c r="AY13" s="57" t="str">
        <f t="shared" si="25"/>
        <v/>
      </c>
      <c r="AZ13" s="57" t="str">
        <f t="shared" si="26"/>
        <v/>
      </c>
      <c r="BA13" s="56">
        <f t="shared" si="27"/>
        <v>3</v>
      </c>
      <c r="BB13" s="56">
        <f t="shared" si="28"/>
        <v>1350</v>
      </c>
      <c r="BC13" s="57" t="str">
        <f t="shared" si="29"/>
        <v/>
      </c>
      <c r="BD13" s="57" t="str">
        <f t="shared" si="30"/>
        <v/>
      </c>
      <c r="BE13" s="57" t="str">
        <f t="shared" si="31"/>
        <v/>
      </c>
      <c r="BF13" s="57" t="str">
        <f t="shared" si="32"/>
        <v/>
      </c>
      <c r="BG13" s="57" t="str">
        <f t="shared" si="33"/>
        <v/>
      </c>
      <c r="BH13" s="57" t="str">
        <f t="shared" si="34"/>
        <v/>
      </c>
      <c r="BI13" s="57" t="str">
        <f t="shared" si="35"/>
        <v/>
      </c>
      <c r="BJ13" s="57" t="str">
        <f t="shared" si="36"/>
        <v/>
      </c>
      <c r="BK13" s="57" t="str">
        <f t="shared" si="37"/>
        <v/>
      </c>
      <c r="BL13" s="57" t="str">
        <f t="shared" si="38"/>
        <v/>
      </c>
      <c r="BM13" s="57" t="str">
        <f t="shared" si="39"/>
        <v/>
      </c>
      <c r="BN13" s="57" t="str">
        <f t="shared" si="40"/>
        <v/>
      </c>
      <c r="BO13" s="57" t="str">
        <f t="shared" si="41"/>
        <v/>
      </c>
      <c r="BP13" s="57" t="str">
        <f t="shared" si="42"/>
        <v/>
      </c>
      <c r="BQ13" s="57" t="str">
        <f t="shared" si="43"/>
        <v/>
      </c>
      <c r="BR13" s="57" t="str">
        <f t="shared" si="44"/>
        <v/>
      </c>
      <c r="BS13" s="57" t="str">
        <f t="shared" si="45"/>
        <v/>
      </c>
      <c r="BT13" s="57" t="str">
        <f t="shared" si="46"/>
        <v/>
      </c>
      <c r="BU13" s="57" t="str">
        <f t="shared" si="47"/>
        <v/>
      </c>
      <c r="BV13" s="57" t="str">
        <f t="shared" si="48"/>
        <v/>
      </c>
      <c r="BW13" s="27"/>
      <c r="BX13" s="69" t="s">
        <v>4</v>
      </c>
      <c r="BY13" s="70"/>
      <c r="BZ13" s="71" t="s">
        <v>42</v>
      </c>
      <c r="CA13" s="72">
        <v>2.0</v>
      </c>
      <c r="CB13" s="73">
        <v>3.0</v>
      </c>
      <c r="CC13" s="74">
        <v>75.0</v>
      </c>
      <c r="CD13" s="75">
        <f>IF(BX13="Squat",IF(CC13&gt;10,MROUND((CC13/100*SQMAX),2.5)," "),IF(BX13="Bench",IF(CC13&gt;10,MROUND((CC13/100*BNMAX),2.5)," "),IF(BX13="Deadlift",IF(CC13&gt;10,MROUND((CC13/100*DLMAX),2.5)," ")," ")))</f>
        <v>105</v>
      </c>
      <c r="CE13" s="26"/>
      <c r="CF13" s="66" t="str">
        <f>IFERROR((CD13/VLOOKUP(CE13,'RPE vs. %'!$D$3:$P$11,CB13+1,FALSE)),"")</f>
        <v/>
      </c>
      <c r="CG13" s="67"/>
      <c r="CH13" s="27"/>
      <c r="CI13" s="57" t="str">
        <f t="shared" si="49"/>
        <v/>
      </c>
      <c r="CJ13" s="57" t="str">
        <f t="shared" si="50"/>
        <v/>
      </c>
      <c r="CK13" s="56">
        <f t="shared" si="51"/>
        <v>2</v>
      </c>
      <c r="CL13" s="56">
        <f t="shared" si="52"/>
        <v>630</v>
      </c>
      <c r="CM13" s="57" t="str">
        <f t="shared" si="53"/>
        <v/>
      </c>
      <c r="CN13" s="57" t="str">
        <f t="shared" si="54"/>
        <v/>
      </c>
      <c r="CO13" s="57" t="str">
        <f t="shared" si="55"/>
        <v/>
      </c>
      <c r="CP13" s="57" t="str">
        <f t="shared" si="56"/>
        <v/>
      </c>
      <c r="CQ13" s="57" t="str">
        <f t="shared" si="57"/>
        <v/>
      </c>
      <c r="CR13" s="57" t="str">
        <f t="shared" si="58"/>
        <v/>
      </c>
      <c r="CS13" s="57" t="str">
        <f t="shared" si="59"/>
        <v/>
      </c>
      <c r="CT13" s="57" t="str">
        <f t="shared" si="60"/>
        <v/>
      </c>
      <c r="CU13" s="57" t="str">
        <f t="shared" si="61"/>
        <v/>
      </c>
      <c r="CV13" s="57" t="str">
        <f t="shared" si="62"/>
        <v/>
      </c>
      <c r="CW13" s="57" t="str">
        <f t="shared" si="63"/>
        <v/>
      </c>
      <c r="CX13" s="57" t="str">
        <f t="shared" si="64"/>
        <v/>
      </c>
      <c r="CY13" s="57" t="str">
        <f t="shared" si="65"/>
        <v/>
      </c>
      <c r="CZ13" s="57" t="str">
        <f t="shared" si="66"/>
        <v/>
      </c>
      <c r="DA13" s="57" t="str">
        <f t="shared" si="67"/>
        <v/>
      </c>
      <c r="DB13" s="57" t="str">
        <f t="shared" si="68"/>
        <v/>
      </c>
      <c r="DC13" s="57" t="str">
        <f t="shared" si="69"/>
        <v/>
      </c>
      <c r="DD13" s="57" t="str">
        <f t="shared" si="70"/>
        <v/>
      </c>
      <c r="DE13" s="57" t="str">
        <f t="shared" si="71"/>
        <v/>
      </c>
      <c r="DF13" s="57" t="str">
        <f t="shared" si="72"/>
        <v/>
      </c>
      <c r="DG13" s="27"/>
      <c r="DH13" s="58" t="s">
        <v>5</v>
      </c>
      <c r="DI13" s="59"/>
      <c r="DJ13" s="60" t="s">
        <v>5</v>
      </c>
      <c r="DK13" s="61">
        <v>3.0</v>
      </c>
      <c r="DL13" s="62">
        <v>3.0</v>
      </c>
      <c r="DM13" s="77">
        <v>82.0</v>
      </c>
      <c r="DN13" s="32">
        <f>IF(DH13="Squat",IF(DM13&gt;10,MROUND((DM13/100*SQMAX),2.5)," "),IF(DH13="Bench",IF(DM13&gt;10,MROUND((DM13/100*BNMAX),2.5)," "),IF(DH13="Deadlift",IF(DM13&gt;10,MROUND((DM13/100*DLMAX),2.5)," ")," ")))</f>
        <v>205</v>
      </c>
      <c r="DO13" s="26"/>
      <c r="DP13" s="66" t="str">
        <f>IFERROR((DN13/VLOOKUP(DO13,'RPE vs. %'!$D$3:$P$11,DL13+1,FALSE)),"")</f>
        <v/>
      </c>
      <c r="DQ13" s="67"/>
      <c r="DR13" s="27"/>
      <c r="DS13" s="27"/>
      <c r="DT13" s="57" t="str">
        <f t="shared" si="73"/>
        <v/>
      </c>
      <c r="DU13" s="57" t="str">
        <f t="shared" si="74"/>
        <v/>
      </c>
      <c r="DV13" s="57" t="str">
        <f t="shared" si="75"/>
        <v/>
      </c>
      <c r="DW13" s="57" t="str">
        <f t="shared" si="76"/>
        <v/>
      </c>
      <c r="DX13" s="56">
        <f t="shared" si="77"/>
        <v>3</v>
      </c>
      <c r="DY13" s="56">
        <f t="shared" si="78"/>
        <v>1845</v>
      </c>
      <c r="DZ13" s="57" t="str">
        <f t="shared" si="79"/>
        <v/>
      </c>
      <c r="EA13" s="57" t="str">
        <f t="shared" si="80"/>
        <v/>
      </c>
      <c r="EB13" s="57" t="str">
        <f t="shared" si="81"/>
        <v/>
      </c>
      <c r="EC13" s="57" t="str">
        <f t="shared" si="82"/>
        <v/>
      </c>
      <c r="ED13" s="57" t="str">
        <f t="shared" si="83"/>
        <v/>
      </c>
      <c r="EE13" s="57" t="str">
        <f t="shared" si="84"/>
        <v/>
      </c>
      <c r="EF13" s="57" t="str">
        <f t="shared" si="85"/>
        <v/>
      </c>
      <c r="EG13" s="57" t="str">
        <f t="shared" si="86"/>
        <v/>
      </c>
      <c r="EH13" s="57" t="str">
        <f t="shared" si="87"/>
        <v/>
      </c>
      <c r="EI13" s="57" t="str">
        <f t="shared" si="88"/>
        <v/>
      </c>
      <c r="EJ13" s="57" t="str">
        <f t="shared" si="89"/>
        <v/>
      </c>
      <c r="EK13" s="57" t="str">
        <f t="shared" si="90"/>
        <v/>
      </c>
      <c r="EL13" s="57" t="str">
        <f t="shared" si="91"/>
        <v/>
      </c>
      <c r="EM13" s="57" t="str">
        <f t="shared" si="92"/>
        <v/>
      </c>
      <c r="EN13" s="57" t="str">
        <f t="shared" si="93"/>
        <v/>
      </c>
      <c r="EO13" s="57" t="str">
        <f t="shared" si="94"/>
        <v/>
      </c>
      <c r="EP13" s="57" t="str">
        <f t="shared" si="95"/>
        <v/>
      </c>
      <c r="EQ13" s="57" t="str">
        <f t="shared" si="96"/>
        <v/>
      </c>
      <c r="ER13" s="56" t="str">
        <f t="shared" si="97"/>
        <v>#REF!</v>
      </c>
      <c r="ES13" s="56" t="str">
        <f t="shared" si="98"/>
        <v>#REF!</v>
      </c>
      <c r="ET13" s="56" t="str">
        <f t="shared" si="99"/>
        <v>#REF!</v>
      </c>
      <c r="EU13" s="56" t="str">
        <f t="shared" si="100"/>
        <v>#REF!</v>
      </c>
      <c r="EV13" s="56" t="str">
        <f t="shared" si="101"/>
        <v>#REF!</v>
      </c>
      <c r="EW13" s="56" t="str">
        <f t="shared" si="102"/>
        <v>#REF!</v>
      </c>
      <c r="EX13" s="56" t="str">
        <f t="shared" si="103"/>
        <v>#REF!</v>
      </c>
      <c r="EY13" s="56" t="str">
        <f t="shared" si="104"/>
        <v>#REF!</v>
      </c>
      <c r="EZ13" s="56" t="str">
        <f t="shared" si="105"/>
        <v>#REF!</v>
      </c>
      <c r="FA13" s="56" t="str">
        <f t="shared" si="106"/>
        <v>#REF!</v>
      </c>
      <c r="FB13" s="56" t="str">
        <f t="shared" si="107"/>
        <v>#REF!</v>
      </c>
      <c r="FC13" s="56" t="str">
        <f t="shared" si="108"/>
        <v>#REF!</v>
      </c>
      <c r="FD13" s="56" t="str">
        <f t="shared" si="109"/>
        <v>#REF!</v>
      </c>
      <c r="FE13" s="56" t="str">
        <f t="shared" si="110"/>
        <v>#REF!</v>
      </c>
      <c r="FF13" s="56" t="str">
        <f t="shared" si="111"/>
        <v>#REF!</v>
      </c>
      <c r="FG13" s="56" t="str">
        <f t="shared" si="112"/>
        <v>#REF!</v>
      </c>
      <c r="FH13" s="56" t="str">
        <f t="shared" si="113"/>
        <v>#REF!</v>
      </c>
      <c r="FI13" s="56" t="str">
        <f t="shared" si="114"/>
        <v>#REF!</v>
      </c>
      <c r="FJ13" s="56" t="str">
        <f t="shared" si="115"/>
        <v>#REF!</v>
      </c>
      <c r="FK13" s="56" t="str">
        <f t="shared" si="116"/>
        <v>#REF!</v>
      </c>
      <c r="FL13" s="56" t="str">
        <f t="shared" si="117"/>
        <v>#REF!</v>
      </c>
      <c r="FM13" s="56" t="str">
        <f t="shared" si="118"/>
        <v>#REF!</v>
      </c>
      <c r="FN13" s="56" t="str">
        <f t="shared" si="119"/>
        <v>#REF!</v>
      </c>
      <c r="FO13" s="56" t="str">
        <f t="shared" si="120"/>
        <v>#REF!</v>
      </c>
    </row>
    <row r="14">
      <c r="A14" s="46"/>
      <c r="C14" s="46"/>
      <c r="D14" s="78" t="s">
        <v>43</v>
      </c>
      <c r="E14" s="79"/>
      <c r="F14" s="80" t="s">
        <v>44</v>
      </c>
      <c r="G14" s="81">
        <v>2.0</v>
      </c>
      <c r="H14" s="82">
        <v>45938.0</v>
      </c>
      <c r="I14" s="1"/>
      <c r="J14" s="83">
        <v>100.0</v>
      </c>
      <c r="K14" s="26"/>
      <c r="L14" s="66" t="str">
        <f>IFERROR((J14/VLOOKUP(K14,'RPE vs. %'!$D$3:$P$11,H14+1,FALSE)),"")</f>
        <v/>
      </c>
      <c r="M14" s="67"/>
      <c r="N14" s="27"/>
      <c r="O14" s="57" t="str">
        <f t="shared" si="1"/>
        <v/>
      </c>
      <c r="P14" s="57" t="str">
        <f t="shared" si="2"/>
        <v/>
      </c>
      <c r="Q14" s="57" t="str">
        <f t="shared" si="3"/>
        <v/>
      </c>
      <c r="R14" s="57" t="str">
        <f t="shared" si="4"/>
        <v/>
      </c>
      <c r="S14" s="57" t="str">
        <f t="shared" si="5"/>
        <v/>
      </c>
      <c r="T14" s="57" t="str">
        <f t="shared" si="6"/>
        <v/>
      </c>
      <c r="U14" s="57" t="str">
        <f t="shared" si="7"/>
        <v/>
      </c>
      <c r="V14" s="57" t="str">
        <f t="shared" si="8"/>
        <v/>
      </c>
      <c r="W14" s="57" t="str">
        <f t="shared" si="9"/>
        <v/>
      </c>
      <c r="X14" s="57" t="str">
        <f t="shared" si="10"/>
        <v/>
      </c>
      <c r="Y14" s="57" t="str">
        <f t="shared" si="11"/>
        <v/>
      </c>
      <c r="Z14" s="57" t="str">
        <f t="shared" si="12"/>
        <v/>
      </c>
      <c r="AA14" s="57" t="str">
        <f t="shared" si="13"/>
        <v/>
      </c>
      <c r="AB14" s="57" t="str">
        <f t="shared" si="14"/>
        <v/>
      </c>
      <c r="AC14" s="57" t="str">
        <f t="shared" si="15"/>
        <v/>
      </c>
      <c r="AD14" s="57" t="str">
        <f t="shared" si="16"/>
        <v/>
      </c>
      <c r="AE14" s="57" t="str">
        <f t="shared" si="17"/>
        <v/>
      </c>
      <c r="AF14" s="57" t="str">
        <f t="shared" si="18"/>
        <v/>
      </c>
      <c r="AG14" s="57" t="str">
        <f t="shared" si="19"/>
        <v/>
      </c>
      <c r="AH14" s="57" t="str">
        <f t="shared" si="20"/>
        <v/>
      </c>
      <c r="AI14" s="57" t="str">
        <f t="shared" si="21"/>
        <v/>
      </c>
      <c r="AJ14" s="57" t="str">
        <f t="shared" si="22"/>
        <v/>
      </c>
      <c r="AK14" s="57" t="str">
        <f t="shared" si="23"/>
        <v/>
      </c>
      <c r="AL14" s="57" t="str">
        <f t="shared" si="24"/>
        <v/>
      </c>
      <c r="AM14" s="27"/>
      <c r="AN14" s="78" t="s">
        <v>43</v>
      </c>
      <c r="AO14" s="79"/>
      <c r="AP14" s="84" t="s">
        <v>45</v>
      </c>
      <c r="AQ14" s="81">
        <v>3.0</v>
      </c>
      <c r="AR14" s="85">
        <v>8.0</v>
      </c>
      <c r="AS14" s="1"/>
      <c r="AT14" s="83">
        <v>50.0</v>
      </c>
      <c r="AU14" s="26"/>
      <c r="AV14" s="66" t="str">
        <f>IFERROR((AT14/VLOOKUP(AU14,'RPE vs. %'!$D$3:$P$11,AR14+1,FALSE)),"")</f>
        <v/>
      </c>
      <c r="AW14" s="67"/>
      <c r="AX14" s="27"/>
      <c r="AY14" s="57" t="str">
        <f t="shared" si="25"/>
        <v/>
      </c>
      <c r="AZ14" s="57" t="str">
        <f t="shared" si="26"/>
        <v/>
      </c>
      <c r="BA14" s="57" t="str">
        <f t="shared" si="27"/>
        <v/>
      </c>
      <c r="BB14" s="57" t="str">
        <f t="shared" si="28"/>
        <v/>
      </c>
      <c r="BC14" s="57" t="str">
        <f t="shared" si="29"/>
        <v/>
      </c>
      <c r="BD14" s="57" t="str">
        <f t="shared" si="30"/>
        <v/>
      </c>
      <c r="BE14" s="57" t="str">
        <f t="shared" si="31"/>
        <v/>
      </c>
      <c r="BF14" s="57" t="str">
        <f t="shared" si="32"/>
        <v/>
      </c>
      <c r="BG14" s="57" t="str">
        <f t="shared" si="33"/>
        <v/>
      </c>
      <c r="BH14" s="57" t="str">
        <f t="shared" si="34"/>
        <v/>
      </c>
      <c r="BI14" s="57" t="str">
        <f t="shared" si="35"/>
        <v/>
      </c>
      <c r="BJ14" s="57" t="str">
        <f t="shared" si="36"/>
        <v/>
      </c>
      <c r="BK14" s="57" t="str">
        <f t="shared" si="37"/>
        <v/>
      </c>
      <c r="BL14" s="57" t="str">
        <f t="shared" si="38"/>
        <v/>
      </c>
      <c r="BM14" s="57" t="str">
        <f t="shared" si="39"/>
        <v/>
      </c>
      <c r="BN14" s="57" t="str">
        <f t="shared" si="40"/>
        <v/>
      </c>
      <c r="BO14" s="57" t="str">
        <f t="shared" si="41"/>
        <v/>
      </c>
      <c r="BP14" s="57" t="str">
        <f t="shared" si="42"/>
        <v/>
      </c>
      <c r="BQ14" s="57" t="str">
        <f t="shared" si="43"/>
        <v/>
      </c>
      <c r="BR14" s="57" t="str">
        <f t="shared" si="44"/>
        <v/>
      </c>
      <c r="BS14" s="57" t="str">
        <f t="shared" si="45"/>
        <v/>
      </c>
      <c r="BT14" s="57" t="str">
        <f t="shared" si="46"/>
        <v/>
      </c>
      <c r="BU14" s="57" t="str">
        <f t="shared" si="47"/>
        <v/>
      </c>
      <c r="BV14" s="57" t="str">
        <f t="shared" si="48"/>
        <v/>
      </c>
      <c r="BW14" s="27"/>
      <c r="BX14" s="78" t="s">
        <v>43</v>
      </c>
      <c r="BY14" s="79"/>
      <c r="BZ14" s="80" t="s">
        <v>46</v>
      </c>
      <c r="CA14" s="81">
        <v>3.0</v>
      </c>
      <c r="CB14" s="85">
        <v>12.0</v>
      </c>
      <c r="CC14" s="1"/>
      <c r="CD14" s="83">
        <v>60.0</v>
      </c>
      <c r="CE14" s="26"/>
      <c r="CF14" s="66" t="str">
        <f>IFERROR((CD14/VLOOKUP(CE14,'RPE vs. %'!$D$3:$P$11,CB14+1,FALSE)),"")</f>
        <v/>
      </c>
      <c r="CG14" s="67"/>
      <c r="CH14" s="27"/>
      <c r="CI14" s="57" t="str">
        <f t="shared" si="49"/>
        <v/>
      </c>
      <c r="CJ14" s="57" t="str">
        <f t="shared" si="50"/>
        <v/>
      </c>
      <c r="CK14" s="57" t="str">
        <f t="shared" si="51"/>
        <v/>
      </c>
      <c r="CL14" s="57" t="str">
        <f t="shared" si="52"/>
        <v/>
      </c>
      <c r="CM14" s="57" t="str">
        <f t="shared" si="53"/>
        <v/>
      </c>
      <c r="CN14" s="57" t="str">
        <f t="shared" si="54"/>
        <v/>
      </c>
      <c r="CO14" s="57" t="str">
        <f t="shared" si="55"/>
        <v/>
      </c>
      <c r="CP14" s="57" t="str">
        <f t="shared" si="56"/>
        <v/>
      </c>
      <c r="CQ14" s="57" t="str">
        <f t="shared" si="57"/>
        <v/>
      </c>
      <c r="CR14" s="57" t="str">
        <f t="shared" si="58"/>
        <v/>
      </c>
      <c r="CS14" s="57" t="str">
        <f t="shared" si="59"/>
        <v/>
      </c>
      <c r="CT14" s="57" t="str">
        <f t="shared" si="60"/>
        <v/>
      </c>
      <c r="CU14" s="57" t="str">
        <f t="shared" si="61"/>
        <v/>
      </c>
      <c r="CV14" s="57" t="str">
        <f t="shared" si="62"/>
        <v/>
      </c>
      <c r="CW14" s="57" t="str">
        <f t="shared" si="63"/>
        <v/>
      </c>
      <c r="CX14" s="57" t="str">
        <f t="shared" si="64"/>
        <v/>
      </c>
      <c r="CY14" s="57" t="str">
        <f t="shared" si="65"/>
        <v/>
      </c>
      <c r="CZ14" s="57" t="str">
        <f t="shared" si="66"/>
        <v/>
      </c>
      <c r="DA14" s="57" t="str">
        <f t="shared" si="67"/>
        <v/>
      </c>
      <c r="DB14" s="57" t="str">
        <f t="shared" si="68"/>
        <v/>
      </c>
      <c r="DC14" s="57" t="str">
        <f t="shared" si="69"/>
        <v/>
      </c>
      <c r="DD14" s="57" t="str">
        <f t="shared" si="70"/>
        <v/>
      </c>
      <c r="DE14" s="57" t="str">
        <f t="shared" si="71"/>
        <v/>
      </c>
      <c r="DF14" s="57" t="str">
        <f t="shared" si="72"/>
        <v/>
      </c>
      <c r="DG14" s="27"/>
      <c r="DH14" s="78" t="s">
        <v>43</v>
      </c>
      <c r="DI14" s="79"/>
      <c r="DJ14" s="80" t="s">
        <v>47</v>
      </c>
      <c r="DK14" s="81">
        <v>5.0</v>
      </c>
      <c r="DL14" s="85">
        <v>12.0</v>
      </c>
      <c r="DM14" s="19"/>
      <c r="DN14" s="34" t="str">
        <f>IF(DH14="Squat",IF(DM14&gt;10,MROUND((DM14/100*SQMAX),2.5)," "),IF(DH14="Bench",IF(DM14&gt;10,MROUND((DM14/100*BNMAX),2.5)," "),IF(DH14="Deadlift",IF(DM14&gt;10,MROUND((DM14/100*DLMAX),2.5)," ")," ")))</f>
        <v> </v>
      </c>
      <c r="DO14" s="26"/>
      <c r="DP14" s="66" t="str">
        <f>IFERROR((DN14/VLOOKUP(DO14,'RPE vs. %'!$D$3:$P$11,DL14+1,FALSE)),"")</f>
        <v/>
      </c>
      <c r="DQ14" s="67"/>
      <c r="DR14" s="27"/>
      <c r="DS14" s="27"/>
      <c r="DT14" s="57" t="str">
        <f t="shared" si="73"/>
        <v/>
      </c>
      <c r="DU14" s="57" t="str">
        <f t="shared" si="74"/>
        <v/>
      </c>
      <c r="DV14" s="57" t="str">
        <f t="shared" si="75"/>
        <v/>
      </c>
      <c r="DW14" s="57" t="str">
        <f t="shared" si="76"/>
        <v/>
      </c>
      <c r="DX14" s="57" t="str">
        <f t="shared" si="77"/>
        <v/>
      </c>
      <c r="DY14" s="57" t="str">
        <f t="shared" si="78"/>
        <v/>
      </c>
      <c r="DZ14" s="57" t="str">
        <f t="shared" si="79"/>
        <v/>
      </c>
      <c r="EA14" s="57" t="str">
        <f t="shared" si="80"/>
        <v/>
      </c>
      <c r="EB14" s="57" t="str">
        <f t="shared" si="81"/>
        <v/>
      </c>
      <c r="EC14" s="57" t="str">
        <f t="shared" si="82"/>
        <v/>
      </c>
      <c r="ED14" s="57" t="str">
        <f t="shared" si="83"/>
        <v/>
      </c>
      <c r="EE14" s="57" t="str">
        <f t="shared" si="84"/>
        <v/>
      </c>
      <c r="EF14" s="57" t="str">
        <f t="shared" si="85"/>
        <v/>
      </c>
      <c r="EG14" s="57" t="str">
        <f t="shared" si="86"/>
        <v/>
      </c>
      <c r="EH14" s="57" t="str">
        <f t="shared" si="87"/>
        <v/>
      </c>
      <c r="EI14" s="57" t="str">
        <f t="shared" si="88"/>
        <v/>
      </c>
      <c r="EJ14" s="57" t="str">
        <f t="shared" si="89"/>
        <v/>
      </c>
      <c r="EK14" s="57" t="str">
        <f t="shared" si="90"/>
        <v/>
      </c>
      <c r="EL14" s="57" t="str">
        <f t="shared" si="91"/>
        <v/>
      </c>
      <c r="EM14" s="57" t="str">
        <f t="shared" si="92"/>
        <v/>
      </c>
      <c r="EN14" s="57" t="str">
        <f t="shared" si="93"/>
        <v/>
      </c>
      <c r="EO14" s="57" t="str">
        <f t="shared" si="94"/>
        <v/>
      </c>
      <c r="EP14" s="57" t="str">
        <f t="shared" si="95"/>
        <v/>
      </c>
      <c r="EQ14" s="57" t="str">
        <f t="shared" si="96"/>
        <v/>
      </c>
      <c r="ER14" s="56" t="str">
        <f t="shared" si="97"/>
        <v>#REF!</v>
      </c>
      <c r="ES14" s="56" t="str">
        <f t="shared" si="98"/>
        <v>#REF!</v>
      </c>
      <c r="ET14" s="56" t="str">
        <f t="shared" si="99"/>
        <v>#REF!</v>
      </c>
      <c r="EU14" s="56" t="str">
        <f t="shared" si="100"/>
        <v>#REF!</v>
      </c>
      <c r="EV14" s="56" t="str">
        <f t="shared" si="101"/>
        <v>#REF!</v>
      </c>
      <c r="EW14" s="56" t="str">
        <f t="shared" si="102"/>
        <v>#REF!</v>
      </c>
      <c r="EX14" s="56" t="str">
        <f t="shared" si="103"/>
        <v>#REF!</v>
      </c>
      <c r="EY14" s="56" t="str">
        <f t="shared" si="104"/>
        <v>#REF!</v>
      </c>
      <c r="EZ14" s="56" t="str">
        <f t="shared" si="105"/>
        <v>#REF!</v>
      </c>
      <c r="FA14" s="56" t="str">
        <f t="shared" si="106"/>
        <v>#REF!</v>
      </c>
      <c r="FB14" s="56" t="str">
        <f t="shared" si="107"/>
        <v>#REF!</v>
      </c>
      <c r="FC14" s="56" t="str">
        <f t="shared" si="108"/>
        <v>#REF!</v>
      </c>
      <c r="FD14" s="56" t="str">
        <f t="shared" si="109"/>
        <v>#REF!</v>
      </c>
      <c r="FE14" s="56" t="str">
        <f t="shared" si="110"/>
        <v>#REF!</v>
      </c>
      <c r="FF14" s="56" t="str">
        <f t="shared" si="111"/>
        <v>#REF!</v>
      </c>
      <c r="FG14" s="56" t="str">
        <f t="shared" si="112"/>
        <v>#REF!</v>
      </c>
      <c r="FH14" s="56" t="str">
        <f t="shared" si="113"/>
        <v>#REF!</v>
      </c>
      <c r="FI14" s="56" t="str">
        <f t="shared" si="114"/>
        <v>#REF!</v>
      </c>
      <c r="FJ14" s="56" t="str">
        <f t="shared" si="115"/>
        <v>#REF!</v>
      </c>
      <c r="FK14" s="56" t="str">
        <f t="shared" si="116"/>
        <v>#REF!</v>
      </c>
      <c r="FL14" s="56" t="str">
        <f t="shared" si="117"/>
        <v>#REF!</v>
      </c>
      <c r="FM14" s="56" t="str">
        <f t="shared" si="118"/>
        <v>#REF!</v>
      </c>
      <c r="FN14" s="56" t="str">
        <f t="shared" si="119"/>
        <v>#REF!</v>
      </c>
      <c r="FO14" s="56" t="str">
        <f t="shared" si="120"/>
        <v>#REF!</v>
      </c>
    </row>
    <row r="15">
      <c r="A15" s="46"/>
      <c r="C15" s="46"/>
      <c r="D15" s="78" t="s">
        <v>43</v>
      </c>
      <c r="E15" s="79"/>
      <c r="F15" s="84" t="s">
        <v>48</v>
      </c>
      <c r="G15" s="81">
        <v>2.0</v>
      </c>
      <c r="H15" s="85">
        <v>8.0</v>
      </c>
      <c r="I15" s="1"/>
      <c r="J15" s="83">
        <v>24.0</v>
      </c>
      <c r="K15" s="26"/>
      <c r="L15" s="66" t="str">
        <f>IFERROR((J15/VLOOKUP(K15,'RPE vs. %'!$D$3:$P$11,H15+1,FALSE)),"")</f>
        <v/>
      </c>
      <c r="M15" s="67"/>
      <c r="N15" s="27"/>
      <c r="O15" s="57" t="str">
        <f t="shared" si="1"/>
        <v/>
      </c>
      <c r="P15" s="57" t="str">
        <f t="shared" si="2"/>
        <v/>
      </c>
      <c r="Q15" s="57" t="str">
        <f t="shared" si="3"/>
        <v/>
      </c>
      <c r="R15" s="57" t="str">
        <f t="shared" si="4"/>
        <v/>
      </c>
      <c r="S15" s="57" t="str">
        <f t="shared" si="5"/>
        <v/>
      </c>
      <c r="T15" s="57" t="str">
        <f t="shared" si="6"/>
        <v/>
      </c>
      <c r="U15" s="57" t="str">
        <f t="shared" si="7"/>
        <v/>
      </c>
      <c r="V15" s="57" t="str">
        <f t="shared" si="8"/>
        <v/>
      </c>
      <c r="W15" s="57" t="str">
        <f t="shared" si="9"/>
        <v/>
      </c>
      <c r="X15" s="57" t="str">
        <f t="shared" si="10"/>
        <v/>
      </c>
      <c r="Y15" s="57" t="str">
        <f t="shared" si="11"/>
        <v/>
      </c>
      <c r="Z15" s="57" t="str">
        <f t="shared" si="12"/>
        <v/>
      </c>
      <c r="AA15" s="57" t="str">
        <f t="shared" si="13"/>
        <v/>
      </c>
      <c r="AB15" s="57" t="str">
        <f t="shared" si="14"/>
        <v/>
      </c>
      <c r="AC15" s="57" t="str">
        <f t="shared" si="15"/>
        <v/>
      </c>
      <c r="AD15" s="57" t="str">
        <f t="shared" si="16"/>
        <v/>
      </c>
      <c r="AE15" s="57" t="str">
        <f t="shared" si="17"/>
        <v/>
      </c>
      <c r="AF15" s="57" t="str">
        <f t="shared" si="18"/>
        <v/>
      </c>
      <c r="AG15" s="57" t="str">
        <f t="shared" si="19"/>
        <v/>
      </c>
      <c r="AH15" s="57" t="str">
        <f t="shared" si="20"/>
        <v/>
      </c>
      <c r="AI15" s="57" t="str">
        <f t="shared" si="21"/>
        <v/>
      </c>
      <c r="AJ15" s="57" t="str">
        <f t="shared" si="22"/>
        <v/>
      </c>
      <c r="AK15" s="57" t="str">
        <f t="shared" si="23"/>
        <v/>
      </c>
      <c r="AL15" s="57" t="str">
        <f t="shared" si="24"/>
        <v/>
      </c>
      <c r="AM15" s="27"/>
      <c r="AN15" s="78" t="s">
        <v>43</v>
      </c>
      <c r="AO15" s="79"/>
      <c r="AP15" s="80" t="s">
        <v>47</v>
      </c>
      <c r="AQ15" s="81">
        <v>5.0</v>
      </c>
      <c r="AR15" s="85">
        <v>12.0</v>
      </c>
      <c r="AS15" s="1"/>
      <c r="AT15" s="83">
        <v>20.0</v>
      </c>
      <c r="AU15" s="26"/>
      <c r="AV15" s="66" t="str">
        <f>IFERROR((AT15/VLOOKUP(AU15,'RPE vs. %'!$D$3:$P$11,AR15+1,FALSE)),"")</f>
        <v/>
      </c>
      <c r="AW15" s="67"/>
      <c r="AX15" s="27"/>
      <c r="AY15" s="57" t="str">
        <f t="shared" si="25"/>
        <v/>
      </c>
      <c r="AZ15" s="57" t="str">
        <f t="shared" si="26"/>
        <v/>
      </c>
      <c r="BA15" s="57" t="str">
        <f t="shared" si="27"/>
        <v/>
      </c>
      <c r="BB15" s="57" t="str">
        <f t="shared" si="28"/>
        <v/>
      </c>
      <c r="BC15" s="57" t="str">
        <f t="shared" si="29"/>
        <v/>
      </c>
      <c r="BD15" s="57" t="str">
        <f t="shared" si="30"/>
        <v/>
      </c>
      <c r="BE15" s="57" t="str">
        <f t="shared" si="31"/>
        <v/>
      </c>
      <c r="BF15" s="57" t="str">
        <f t="shared" si="32"/>
        <v/>
      </c>
      <c r="BG15" s="57" t="str">
        <f t="shared" si="33"/>
        <v/>
      </c>
      <c r="BH15" s="57" t="str">
        <f t="shared" si="34"/>
        <v/>
      </c>
      <c r="BI15" s="57" t="str">
        <f t="shared" si="35"/>
        <v/>
      </c>
      <c r="BJ15" s="57" t="str">
        <f t="shared" si="36"/>
        <v/>
      </c>
      <c r="BK15" s="57" t="str">
        <f t="shared" si="37"/>
        <v/>
      </c>
      <c r="BL15" s="57" t="str">
        <f t="shared" si="38"/>
        <v/>
      </c>
      <c r="BM15" s="57" t="str">
        <f t="shared" si="39"/>
        <v/>
      </c>
      <c r="BN15" s="57" t="str">
        <f t="shared" si="40"/>
        <v/>
      </c>
      <c r="BO15" s="57" t="str">
        <f t="shared" si="41"/>
        <v/>
      </c>
      <c r="BP15" s="57" t="str">
        <f t="shared" si="42"/>
        <v/>
      </c>
      <c r="BQ15" s="57" t="str">
        <f t="shared" si="43"/>
        <v/>
      </c>
      <c r="BR15" s="57" t="str">
        <f t="shared" si="44"/>
        <v/>
      </c>
      <c r="BS15" s="57" t="str">
        <f t="shared" si="45"/>
        <v/>
      </c>
      <c r="BT15" s="57" t="str">
        <f t="shared" si="46"/>
        <v/>
      </c>
      <c r="BU15" s="57" t="str">
        <f t="shared" si="47"/>
        <v/>
      </c>
      <c r="BV15" s="57" t="str">
        <f t="shared" si="48"/>
        <v/>
      </c>
      <c r="BW15" s="27"/>
      <c r="BX15" s="78" t="s">
        <v>43</v>
      </c>
      <c r="BY15" s="79"/>
      <c r="BZ15" s="80" t="s">
        <v>49</v>
      </c>
      <c r="CA15" s="81">
        <v>3.0</v>
      </c>
      <c r="CB15" s="85">
        <v>8.0</v>
      </c>
      <c r="CC15" s="1"/>
      <c r="CD15" s="34" t="str">
        <f>IF(BX15="Squat",IF(CC15&gt;10,MROUND((CC15/100*SQMAX),2.5)," "),IF(BX15="Bench",IF(CC15&gt;10,MROUND((CC15/100*BNMAX),2.5)," "),IF(BX15="Deadlift",IF(CC15&gt;10,MROUND((CC15/100*DLMAX),2.5)," ")," ")))</f>
        <v> </v>
      </c>
      <c r="CE15" s="26"/>
      <c r="CF15" s="66" t="str">
        <f>IFERROR((CD15/VLOOKUP(CE15,'RPE vs. %'!$D$3:$P$11,CB15+1,FALSE)),"")</f>
        <v/>
      </c>
      <c r="CG15" s="67"/>
      <c r="CH15" s="27"/>
      <c r="CI15" s="57" t="str">
        <f t="shared" si="49"/>
        <v/>
      </c>
      <c r="CJ15" s="57" t="str">
        <f t="shared" si="50"/>
        <v/>
      </c>
      <c r="CK15" s="57" t="str">
        <f t="shared" si="51"/>
        <v/>
      </c>
      <c r="CL15" s="57" t="str">
        <f t="shared" si="52"/>
        <v/>
      </c>
      <c r="CM15" s="57" t="str">
        <f t="shared" si="53"/>
        <v/>
      </c>
      <c r="CN15" s="57" t="str">
        <f t="shared" si="54"/>
        <v/>
      </c>
      <c r="CO15" s="57" t="str">
        <f t="shared" si="55"/>
        <v/>
      </c>
      <c r="CP15" s="57" t="str">
        <f t="shared" si="56"/>
        <v/>
      </c>
      <c r="CQ15" s="57" t="str">
        <f t="shared" si="57"/>
        <v/>
      </c>
      <c r="CR15" s="57" t="str">
        <f t="shared" si="58"/>
        <v/>
      </c>
      <c r="CS15" s="57" t="str">
        <f t="shared" si="59"/>
        <v/>
      </c>
      <c r="CT15" s="57" t="str">
        <f t="shared" si="60"/>
        <v/>
      </c>
      <c r="CU15" s="57" t="str">
        <f t="shared" si="61"/>
        <v/>
      </c>
      <c r="CV15" s="57" t="str">
        <f t="shared" si="62"/>
        <v/>
      </c>
      <c r="CW15" s="57" t="str">
        <f t="shared" si="63"/>
        <v/>
      </c>
      <c r="CX15" s="57" t="str">
        <f t="shared" si="64"/>
        <v/>
      </c>
      <c r="CY15" s="57" t="str">
        <f t="shared" si="65"/>
        <v/>
      </c>
      <c r="CZ15" s="57" t="str">
        <f t="shared" si="66"/>
        <v/>
      </c>
      <c r="DA15" s="57" t="str">
        <f t="shared" si="67"/>
        <v/>
      </c>
      <c r="DB15" s="57" t="str">
        <f t="shared" si="68"/>
        <v/>
      </c>
      <c r="DC15" s="57" t="str">
        <f t="shared" si="69"/>
        <v/>
      </c>
      <c r="DD15" s="57" t="str">
        <f t="shared" si="70"/>
        <v/>
      </c>
      <c r="DE15" s="57" t="str">
        <f t="shared" si="71"/>
        <v/>
      </c>
      <c r="DF15" s="57" t="str">
        <f t="shared" si="72"/>
        <v/>
      </c>
      <c r="DG15" s="27"/>
      <c r="DH15" s="78" t="s">
        <v>43</v>
      </c>
      <c r="DI15" s="79"/>
      <c r="DJ15" s="80" t="s">
        <v>50</v>
      </c>
      <c r="DK15" s="81">
        <v>3.0</v>
      </c>
      <c r="DL15" s="85">
        <v>12.0</v>
      </c>
      <c r="DM15" s="19"/>
      <c r="DN15" s="34" t="str">
        <f>IF(DH15="Squat",IF(DM15&gt;10,MROUND((DM15/100*SQMAX),2.5)," "),IF(DH15="Bench",IF(DM15&gt;10,MROUND((DM15/100*BNMAX),2.5)," "),IF(DH15="Deadlift",IF(DM15&gt;10,MROUND((DM15/100*DLMAX),2.5)," ")," ")))</f>
        <v> </v>
      </c>
      <c r="DO15" s="26"/>
      <c r="DP15" s="66" t="str">
        <f>IFERROR((DN15/VLOOKUP(DO15,'RPE vs. %'!$D$3:$P$11,DL15+1,FALSE)),"")</f>
        <v/>
      </c>
      <c r="DQ15" s="67"/>
      <c r="DR15" s="27"/>
      <c r="DS15" s="27"/>
      <c r="DT15" s="57" t="str">
        <f t="shared" si="73"/>
        <v/>
      </c>
      <c r="DU15" s="57" t="str">
        <f t="shared" si="74"/>
        <v/>
      </c>
      <c r="DV15" s="57" t="str">
        <f t="shared" si="75"/>
        <v/>
      </c>
      <c r="DW15" s="57" t="str">
        <f t="shared" si="76"/>
        <v/>
      </c>
      <c r="DX15" s="57" t="str">
        <f t="shared" si="77"/>
        <v/>
      </c>
      <c r="DY15" s="57" t="str">
        <f t="shared" si="78"/>
        <v/>
      </c>
      <c r="DZ15" s="57" t="str">
        <f t="shared" si="79"/>
        <v/>
      </c>
      <c r="EA15" s="57" t="str">
        <f t="shared" si="80"/>
        <v/>
      </c>
      <c r="EB15" s="57" t="str">
        <f t="shared" si="81"/>
        <v/>
      </c>
      <c r="EC15" s="57" t="str">
        <f t="shared" si="82"/>
        <v/>
      </c>
      <c r="ED15" s="57" t="str">
        <f t="shared" si="83"/>
        <v/>
      </c>
      <c r="EE15" s="57" t="str">
        <f t="shared" si="84"/>
        <v/>
      </c>
      <c r="EF15" s="57" t="str">
        <f t="shared" si="85"/>
        <v/>
      </c>
      <c r="EG15" s="57" t="str">
        <f t="shared" si="86"/>
        <v/>
      </c>
      <c r="EH15" s="57" t="str">
        <f t="shared" si="87"/>
        <v/>
      </c>
      <c r="EI15" s="57" t="str">
        <f t="shared" si="88"/>
        <v/>
      </c>
      <c r="EJ15" s="57" t="str">
        <f t="shared" si="89"/>
        <v/>
      </c>
      <c r="EK15" s="57" t="str">
        <f t="shared" si="90"/>
        <v/>
      </c>
      <c r="EL15" s="57" t="str">
        <f t="shared" si="91"/>
        <v/>
      </c>
      <c r="EM15" s="57" t="str">
        <f t="shared" si="92"/>
        <v/>
      </c>
      <c r="EN15" s="57" t="str">
        <f t="shared" si="93"/>
        <v/>
      </c>
      <c r="EO15" s="57" t="str">
        <f t="shared" si="94"/>
        <v/>
      </c>
      <c r="EP15" s="57" t="str">
        <f t="shared" si="95"/>
        <v/>
      </c>
      <c r="EQ15" s="57" t="str">
        <f t="shared" si="96"/>
        <v/>
      </c>
      <c r="ER15" s="56" t="str">
        <f t="shared" si="97"/>
        <v>#REF!</v>
      </c>
      <c r="ES15" s="56" t="str">
        <f t="shared" si="98"/>
        <v>#REF!</v>
      </c>
      <c r="ET15" s="56" t="str">
        <f t="shared" si="99"/>
        <v>#REF!</v>
      </c>
      <c r="EU15" s="56" t="str">
        <f t="shared" si="100"/>
        <v>#REF!</v>
      </c>
      <c r="EV15" s="56" t="str">
        <f t="shared" si="101"/>
        <v>#REF!</v>
      </c>
      <c r="EW15" s="56" t="str">
        <f t="shared" si="102"/>
        <v>#REF!</v>
      </c>
      <c r="EX15" s="56" t="str">
        <f t="shared" si="103"/>
        <v>#REF!</v>
      </c>
      <c r="EY15" s="56" t="str">
        <f t="shared" si="104"/>
        <v>#REF!</v>
      </c>
      <c r="EZ15" s="56" t="str">
        <f t="shared" si="105"/>
        <v>#REF!</v>
      </c>
      <c r="FA15" s="56" t="str">
        <f t="shared" si="106"/>
        <v>#REF!</v>
      </c>
      <c r="FB15" s="56" t="str">
        <f t="shared" si="107"/>
        <v>#REF!</v>
      </c>
      <c r="FC15" s="56" t="str">
        <f t="shared" si="108"/>
        <v>#REF!</v>
      </c>
      <c r="FD15" s="56" t="str">
        <f t="shared" si="109"/>
        <v>#REF!</v>
      </c>
      <c r="FE15" s="56" t="str">
        <f t="shared" si="110"/>
        <v>#REF!</v>
      </c>
      <c r="FF15" s="56" t="str">
        <f t="shared" si="111"/>
        <v>#REF!</v>
      </c>
      <c r="FG15" s="56" t="str">
        <f t="shared" si="112"/>
        <v>#REF!</v>
      </c>
      <c r="FH15" s="56" t="str">
        <f t="shared" si="113"/>
        <v>#REF!</v>
      </c>
      <c r="FI15" s="56" t="str">
        <f t="shared" si="114"/>
        <v>#REF!</v>
      </c>
      <c r="FJ15" s="56" t="str">
        <f t="shared" si="115"/>
        <v>#REF!</v>
      </c>
      <c r="FK15" s="56" t="str">
        <f t="shared" si="116"/>
        <v>#REF!</v>
      </c>
      <c r="FL15" s="56" t="str">
        <f t="shared" si="117"/>
        <v>#REF!</v>
      </c>
      <c r="FM15" s="56" t="str">
        <f t="shared" si="118"/>
        <v>#REF!</v>
      </c>
      <c r="FN15" s="56" t="str">
        <f t="shared" si="119"/>
        <v>#REF!</v>
      </c>
      <c r="FO15" s="56" t="str">
        <f t="shared" si="120"/>
        <v>#REF!</v>
      </c>
    </row>
    <row r="16">
      <c r="A16" s="46"/>
      <c r="C16" s="46"/>
      <c r="D16" s="86" t="s">
        <v>43</v>
      </c>
      <c r="E16" s="79"/>
      <c r="F16" s="86" t="s">
        <v>51</v>
      </c>
      <c r="G16" s="87">
        <v>3.0</v>
      </c>
      <c r="H16" s="86">
        <v>12.0</v>
      </c>
      <c r="I16" s="1"/>
      <c r="J16" s="83">
        <v>7.5</v>
      </c>
      <c r="K16" s="26"/>
      <c r="L16" s="66" t="str">
        <f>IFERROR((J16/VLOOKUP(K16,'RPE vs. %'!$D$3:$P$11,H16+1,FALSE)),"")</f>
        <v/>
      </c>
      <c r="M16" s="67"/>
      <c r="N16" s="27"/>
      <c r="O16" s="57" t="str">
        <f t="shared" si="1"/>
        <v/>
      </c>
      <c r="P16" s="57" t="str">
        <f t="shared" si="2"/>
        <v/>
      </c>
      <c r="Q16" s="57" t="str">
        <f t="shared" si="3"/>
        <v/>
      </c>
      <c r="R16" s="57" t="str">
        <f t="shared" si="4"/>
        <v/>
      </c>
      <c r="S16" s="57" t="str">
        <f t="shared" si="5"/>
        <v/>
      </c>
      <c r="T16" s="57" t="str">
        <f t="shared" si="6"/>
        <v/>
      </c>
      <c r="U16" s="57" t="str">
        <f t="shared" si="7"/>
        <v/>
      </c>
      <c r="V16" s="57" t="str">
        <f t="shared" si="8"/>
        <v/>
      </c>
      <c r="W16" s="57" t="str">
        <f t="shared" si="9"/>
        <v/>
      </c>
      <c r="X16" s="57" t="str">
        <f t="shared" si="10"/>
        <v/>
      </c>
      <c r="Y16" s="57" t="str">
        <f t="shared" si="11"/>
        <v/>
      </c>
      <c r="Z16" s="57" t="str">
        <f t="shared" si="12"/>
        <v/>
      </c>
      <c r="AA16" s="57" t="str">
        <f t="shared" si="13"/>
        <v/>
      </c>
      <c r="AB16" s="57" t="str">
        <f t="shared" si="14"/>
        <v/>
      </c>
      <c r="AC16" s="57" t="str">
        <f t="shared" si="15"/>
        <v/>
      </c>
      <c r="AD16" s="57" t="str">
        <f t="shared" si="16"/>
        <v/>
      </c>
      <c r="AE16" s="57" t="str">
        <f t="shared" si="17"/>
        <v/>
      </c>
      <c r="AF16" s="57" t="str">
        <f t="shared" si="18"/>
        <v/>
      </c>
      <c r="AG16" s="57" t="str">
        <f t="shared" si="19"/>
        <v/>
      </c>
      <c r="AH16" s="57" t="str">
        <f t="shared" si="20"/>
        <v/>
      </c>
      <c r="AI16" s="57" t="str">
        <f t="shared" si="21"/>
        <v/>
      </c>
      <c r="AJ16" s="57" t="str">
        <f t="shared" si="22"/>
        <v/>
      </c>
      <c r="AK16" s="57" t="str">
        <f t="shared" si="23"/>
        <v/>
      </c>
      <c r="AL16" s="57" t="str">
        <f t="shared" si="24"/>
        <v/>
      </c>
      <c r="AM16" s="27"/>
      <c r="AN16" s="78" t="s">
        <v>43</v>
      </c>
      <c r="AO16" s="79"/>
      <c r="AP16" s="84" t="s">
        <v>52</v>
      </c>
      <c r="AQ16" s="81">
        <v>3.0</v>
      </c>
      <c r="AR16" s="85">
        <v>12.0</v>
      </c>
      <c r="AS16" s="1"/>
      <c r="AT16" s="83">
        <v>10.0</v>
      </c>
      <c r="AU16" s="26"/>
      <c r="AV16" s="66" t="str">
        <f>IFERROR((AT16/VLOOKUP(AU16,'RPE vs. %'!$D$3:$P$11,AR16+1,FALSE)),"")</f>
        <v/>
      </c>
      <c r="AW16" s="67"/>
      <c r="AX16" s="27"/>
      <c r="AY16" s="57" t="str">
        <f t="shared" si="25"/>
        <v/>
      </c>
      <c r="AZ16" s="57" t="str">
        <f t="shared" si="26"/>
        <v/>
      </c>
      <c r="BA16" s="57" t="str">
        <f t="shared" si="27"/>
        <v/>
      </c>
      <c r="BB16" s="57" t="str">
        <f t="shared" si="28"/>
        <v/>
      </c>
      <c r="BC16" s="57" t="str">
        <f t="shared" si="29"/>
        <v/>
      </c>
      <c r="BD16" s="57" t="str">
        <f t="shared" si="30"/>
        <v/>
      </c>
      <c r="BE16" s="57" t="str">
        <f t="shared" si="31"/>
        <v/>
      </c>
      <c r="BF16" s="57" t="str">
        <f t="shared" si="32"/>
        <v/>
      </c>
      <c r="BG16" s="57" t="str">
        <f t="shared" si="33"/>
        <v/>
      </c>
      <c r="BH16" s="57" t="str">
        <f t="shared" si="34"/>
        <v/>
      </c>
      <c r="BI16" s="57" t="str">
        <f t="shared" si="35"/>
        <v/>
      </c>
      <c r="BJ16" s="57" t="str">
        <f t="shared" si="36"/>
        <v/>
      </c>
      <c r="BK16" s="57" t="str">
        <f t="shared" si="37"/>
        <v/>
      </c>
      <c r="BL16" s="57" t="str">
        <f t="shared" si="38"/>
        <v/>
      </c>
      <c r="BM16" s="57" t="str">
        <f t="shared" si="39"/>
        <v/>
      </c>
      <c r="BN16" s="57" t="str">
        <f t="shared" si="40"/>
        <v/>
      </c>
      <c r="BO16" s="57" t="str">
        <f t="shared" si="41"/>
        <v/>
      </c>
      <c r="BP16" s="57" t="str">
        <f t="shared" si="42"/>
        <v/>
      </c>
      <c r="BQ16" s="57" t="str">
        <f t="shared" si="43"/>
        <v/>
      </c>
      <c r="BR16" s="57" t="str">
        <f t="shared" si="44"/>
        <v/>
      </c>
      <c r="BS16" s="57" t="str">
        <f t="shared" si="45"/>
        <v/>
      </c>
      <c r="BT16" s="57" t="str">
        <f t="shared" si="46"/>
        <v/>
      </c>
      <c r="BU16" s="57" t="str">
        <f t="shared" si="47"/>
        <v/>
      </c>
      <c r="BV16" s="57" t="str">
        <f t="shared" si="48"/>
        <v/>
      </c>
      <c r="BW16" s="27"/>
      <c r="BX16" s="78" t="s">
        <v>43</v>
      </c>
      <c r="BY16" s="79"/>
      <c r="BZ16" s="80" t="s">
        <v>53</v>
      </c>
      <c r="CA16" s="81">
        <v>3.0</v>
      </c>
      <c r="CB16" s="85">
        <v>15.0</v>
      </c>
      <c r="CC16" s="1"/>
      <c r="CD16" s="34" t="str">
        <f>IF(BX16="Squat",IF(CC16&gt;10,MROUND((CC16/100*SQMAX),2.5)," "),IF(BX16="Bench",IF(CC16&gt;10,MROUND((CC16/100*BNMAX),2.5)," "),IF(BX16="Deadlift",IF(CC16&gt;10,MROUND((CC16/100*DLMAX),2.5)," ")," ")))</f>
        <v> </v>
      </c>
      <c r="CE16" s="26"/>
      <c r="CF16" s="66" t="str">
        <f>IFERROR((CD16/VLOOKUP(CE16,'RPE vs. %'!$D$3:$P$11,CB16+1,FALSE)),"")</f>
        <v/>
      </c>
      <c r="CG16" s="67"/>
      <c r="CH16" s="27"/>
      <c r="CI16" s="57" t="str">
        <f t="shared" si="49"/>
        <v/>
      </c>
      <c r="CJ16" s="57" t="str">
        <f t="shared" si="50"/>
        <v/>
      </c>
      <c r="CK16" s="57" t="str">
        <f t="shared" si="51"/>
        <v/>
      </c>
      <c r="CL16" s="57" t="str">
        <f t="shared" si="52"/>
        <v/>
      </c>
      <c r="CM16" s="57" t="str">
        <f t="shared" si="53"/>
        <v/>
      </c>
      <c r="CN16" s="57" t="str">
        <f t="shared" si="54"/>
        <v/>
      </c>
      <c r="CO16" s="57" t="str">
        <f t="shared" si="55"/>
        <v/>
      </c>
      <c r="CP16" s="57" t="str">
        <f t="shared" si="56"/>
        <v/>
      </c>
      <c r="CQ16" s="57" t="str">
        <f t="shared" si="57"/>
        <v/>
      </c>
      <c r="CR16" s="57" t="str">
        <f t="shared" si="58"/>
        <v/>
      </c>
      <c r="CS16" s="57" t="str">
        <f t="shared" si="59"/>
        <v/>
      </c>
      <c r="CT16" s="57" t="str">
        <f t="shared" si="60"/>
        <v/>
      </c>
      <c r="CU16" s="57" t="str">
        <f t="shared" si="61"/>
        <v/>
      </c>
      <c r="CV16" s="57" t="str">
        <f t="shared" si="62"/>
        <v/>
      </c>
      <c r="CW16" s="57" t="str">
        <f t="shared" si="63"/>
        <v/>
      </c>
      <c r="CX16" s="57" t="str">
        <f t="shared" si="64"/>
        <v/>
      </c>
      <c r="CY16" s="57" t="str">
        <f t="shared" si="65"/>
        <v/>
      </c>
      <c r="CZ16" s="57" t="str">
        <f t="shared" si="66"/>
        <v/>
      </c>
      <c r="DA16" s="57" t="str">
        <f t="shared" si="67"/>
        <v/>
      </c>
      <c r="DB16" s="57" t="str">
        <f t="shared" si="68"/>
        <v/>
      </c>
      <c r="DC16" s="57" t="str">
        <f t="shared" si="69"/>
        <v/>
      </c>
      <c r="DD16" s="57" t="str">
        <f t="shared" si="70"/>
        <v/>
      </c>
      <c r="DE16" s="57" t="str">
        <f t="shared" si="71"/>
        <v/>
      </c>
      <c r="DF16" s="57" t="str">
        <f t="shared" si="72"/>
        <v/>
      </c>
      <c r="DG16" s="27"/>
      <c r="DH16" s="79"/>
      <c r="DI16" s="79"/>
      <c r="DJ16" s="79"/>
      <c r="DK16" s="18"/>
      <c r="DL16" s="79"/>
      <c r="DM16" s="19"/>
      <c r="DN16" s="34" t="str">
        <f>IF(DH16="Squat",IF(DM16&gt;10,MROUND((DM16/100*SQMAX),2.5)," "),IF(DH16="Bench",IF(DM16&gt;10,MROUND((DM16/100*BNMAX),2.5)," "),IF(DH16="Deadlift",IF(DM16&gt;10,MROUND((DM16/100*DLMAX),2.5)," ")," ")))</f>
        <v> </v>
      </c>
      <c r="DO16" s="26"/>
      <c r="DP16" s="66" t="str">
        <f>IFERROR((DN16/VLOOKUP(DO16,'RPE vs. %'!$D$3:$P$11,DL16+1,FALSE)),"")</f>
        <v/>
      </c>
      <c r="DQ16" s="67"/>
      <c r="DR16" s="27"/>
      <c r="DS16" s="27"/>
      <c r="DT16" s="57" t="str">
        <f t="shared" si="73"/>
        <v/>
      </c>
      <c r="DU16" s="57" t="str">
        <f t="shared" si="74"/>
        <v/>
      </c>
      <c r="DV16" s="57" t="str">
        <f t="shared" si="75"/>
        <v/>
      </c>
      <c r="DW16" s="57" t="str">
        <f t="shared" si="76"/>
        <v/>
      </c>
      <c r="DX16" s="57" t="str">
        <f t="shared" si="77"/>
        <v/>
      </c>
      <c r="DY16" s="57" t="str">
        <f t="shared" si="78"/>
        <v/>
      </c>
      <c r="DZ16" s="57" t="str">
        <f t="shared" si="79"/>
        <v/>
      </c>
      <c r="EA16" s="57" t="str">
        <f t="shared" si="80"/>
        <v/>
      </c>
      <c r="EB16" s="57" t="str">
        <f t="shared" si="81"/>
        <v/>
      </c>
      <c r="EC16" s="57" t="str">
        <f t="shared" si="82"/>
        <v/>
      </c>
      <c r="ED16" s="57" t="str">
        <f t="shared" si="83"/>
        <v/>
      </c>
      <c r="EE16" s="57" t="str">
        <f t="shared" si="84"/>
        <v/>
      </c>
      <c r="EF16" s="57" t="str">
        <f t="shared" si="85"/>
        <v/>
      </c>
      <c r="EG16" s="57" t="str">
        <f t="shared" si="86"/>
        <v/>
      </c>
      <c r="EH16" s="57" t="str">
        <f t="shared" si="87"/>
        <v/>
      </c>
      <c r="EI16" s="57" t="str">
        <f t="shared" si="88"/>
        <v/>
      </c>
      <c r="EJ16" s="57" t="str">
        <f t="shared" si="89"/>
        <v/>
      </c>
      <c r="EK16" s="57" t="str">
        <f t="shared" si="90"/>
        <v/>
      </c>
      <c r="EL16" s="57" t="str">
        <f t="shared" si="91"/>
        <v/>
      </c>
      <c r="EM16" s="57" t="str">
        <f t="shared" si="92"/>
        <v/>
      </c>
      <c r="EN16" s="57" t="str">
        <f t="shared" si="93"/>
        <v/>
      </c>
      <c r="EO16" s="57" t="str">
        <f t="shared" si="94"/>
        <v/>
      </c>
      <c r="EP16" s="57" t="str">
        <f t="shared" si="95"/>
        <v/>
      </c>
      <c r="EQ16" s="57" t="str">
        <f t="shared" si="96"/>
        <v/>
      </c>
      <c r="ER16" s="56" t="str">
        <f t="shared" si="97"/>
        <v>#REF!</v>
      </c>
      <c r="ES16" s="56" t="str">
        <f t="shared" si="98"/>
        <v>#REF!</v>
      </c>
      <c r="ET16" s="56" t="str">
        <f t="shared" si="99"/>
        <v>#REF!</v>
      </c>
      <c r="EU16" s="56" t="str">
        <f t="shared" si="100"/>
        <v>#REF!</v>
      </c>
      <c r="EV16" s="56" t="str">
        <f t="shared" si="101"/>
        <v>#REF!</v>
      </c>
      <c r="EW16" s="56" t="str">
        <f t="shared" si="102"/>
        <v>#REF!</v>
      </c>
      <c r="EX16" s="56" t="str">
        <f t="shared" si="103"/>
        <v>#REF!</v>
      </c>
      <c r="EY16" s="56" t="str">
        <f t="shared" si="104"/>
        <v>#REF!</v>
      </c>
      <c r="EZ16" s="56" t="str">
        <f t="shared" si="105"/>
        <v>#REF!</v>
      </c>
      <c r="FA16" s="56" t="str">
        <f t="shared" si="106"/>
        <v>#REF!</v>
      </c>
      <c r="FB16" s="56" t="str">
        <f t="shared" si="107"/>
        <v>#REF!</v>
      </c>
      <c r="FC16" s="56" t="str">
        <f t="shared" si="108"/>
        <v>#REF!</v>
      </c>
      <c r="FD16" s="56" t="str">
        <f t="shared" si="109"/>
        <v>#REF!</v>
      </c>
      <c r="FE16" s="56" t="str">
        <f t="shared" si="110"/>
        <v>#REF!</v>
      </c>
      <c r="FF16" s="56" t="str">
        <f t="shared" si="111"/>
        <v>#REF!</v>
      </c>
      <c r="FG16" s="56" t="str">
        <f t="shared" si="112"/>
        <v>#REF!</v>
      </c>
      <c r="FH16" s="56" t="str">
        <f t="shared" si="113"/>
        <v>#REF!</v>
      </c>
      <c r="FI16" s="56" t="str">
        <f t="shared" si="114"/>
        <v>#REF!</v>
      </c>
      <c r="FJ16" s="56" t="str">
        <f t="shared" si="115"/>
        <v>#REF!</v>
      </c>
      <c r="FK16" s="56" t="str">
        <f t="shared" si="116"/>
        <v>#REF!</v>
      </c>
      <c r="FL16" s="56" t="str">
        <f t="shared" si="117"/>
        <v>#REF!</v>
      </c>
      <c r="FM16" s="56" t="str">
        <f t="shared" si="118"/>
        <v>#REF!</v>
      </c>
      <c r="FN16" s="56" t="str">
        <f t="shared" si="119"/>
        <v>#REF!</v>
      </c>
      <c r="FO16" s="56" t="str">
        <f t="shared" si="120"/>
        <v>#REF!</v>
      </c>
    </row>
    <row r="17">
      <c r="A17" s="46"/>
      <c r="C17" s="46"/>
      <c r="D17" s="79"/>
      <c r="E17" s="79"/>
      <c r="F17" s="79"/>
      <c r="G17" s="18"/>
      <c r="H17" s="79"/>
      <c r="I17" s="1"/>
      <c r="J17" s="34" t="str">
        <f>IF(D17="Squat",IF(I17&gt;10,MROUND((I17/100*SQMAX),2.5)," "),IF(D17="Bench",IF(I17&gt;10,MROUND((I17/100*BNMAX),2.5)," "),IF(D17="Deadlift",IF(I17&gt;10,MROUND((I17/100*DLMAX),2.5)," ")," ")))</f>
        <v> </v>
      </c>
      <c r="K17" s="26"/>
      <c r="L17" s="88" t="str">
        <f>IFERROR((J17/VLOOKUP(K17,'RPE vs. %'!$D$3:$P$11,H17+1,FALSE)),"")</f>
        <v/>
      </c>
      <c r="M17" s="89"/>
      <c r="N17" s="27"/>
      <c r="O17" s="57" t="str">
        <f t="shared" si="1"/>
        <v/>
      </c>
      <c r="P17" s="57" t="str">
        <f t="shared" si="2"/>
        <v/>
      </c>
      <c r="Q17" s="57" t="str">
        <f t="shared" si="3"/>
        <v/>
      </c>
      <c r="R17" s="57" t="str">
        <f t="shared" si="4"/>
        <v/>
      </c>
      <c r="S17" s="57" t="str">
        <f t="shared" si="5"/>
        <v/>
      </c>
      <c r="T17" s="57" t="str">
        <f t="shared" si="6"/>
        <v/>
      </c>
      <c r="U17" s="57" t="str">
        <f t="shared" si="7"/>
        <v/>
      </c>
      <c r="V17" s="57" t="str">
        <f t="shared" si="8"/>
        <v/>
      </c>
      <c r="W17" s="57" t="str">
        <f t="shared" si="9"/>
        <v/>
      </c>
      <c r="X17" s="57" t="str">
        <f t="shared" si="10"/>
        <v/>
      </c>
      <c r="Y17" s="57" t="str">
        <f t="shared" si="11"/>
        <v/>
      </c>
      <c r="Z17" s="57" t="str">
        <f t="shared" si="12"/>
        <v/>
      </c>
      <c r="AA17" s="57" t="str">
        <f t="shared" si="13"/>
        <v/>
      </c>
      <c r="AB17" s="57" t="str">
        <f t="shared" si="14"/>
        <v/>
      </c>
      <c r="AC17" s="57" t="str">
        <f t="shared" si="15"/>
        <v/>
      </c>
      <c r="AD17" s="57" t="str">
        <f t="shared" si="16"/>
        <v/>
      </c>
      <c r="AE17" s="57" t="str">
        <f t="shared" si="17"/>
        <v/>
      </c>
      <c r="AF17" s="57" t="str">
        <f t="shared" si="18"/>
        <v/>
      </c>
      <c r="AG17" s="57" t="str">
        <f t="shared" si="19"/>
        <v/>
      </c>
      <c r="AH17" s="57" t="str">
        <f t="shared" si="20"/>
        <v/>
      </c>
      <c r="AI17" s="57" t="str">
        <f t="shared" si="21"/>
        <v/>
      </c>
      <c r="AJ17" s="57" t="str">
        <f t="shared" si="22"/>
        <v/>
      </c>
      <c r="AK17" s="57" t="str">
        <f t="shared" si="23"/>
        <v/>
      </c>
      <c r="AL17" s="57" t="str">
        <f t="shared" si="24"/>
        <v/>
      </c>
      <c r="AM17" s="27"/>
      <c r="AN17" s="79"/>
      <c r="AO17" s="79"/>
      <c r="AP17" s="79"/>
      <c r="AQ17" s="18"/>
      <c r="AR17" s="79"/>
      <c r="AS17" s="1"/>
      <c r="AT17" s="34" t="str">
        <f>IF(AN17="Squat",IF(AS17&gt;10,MROUND((AS17/100*SQMAX),2.5)," "),IF(AN17="Bench",IF(AS17&gt;10,MROUND((AS17/100*BNMAX),2.5)," "),IF(AN17="Deadlift",IF(AS17&gt;10,MROUND((AS17/100*DLMAX),2.5)," ")," ")))</f>
        <v> </v>
      </c>
      <c r="AU17" s="26"/>
      <c r="AV17" s="88" t="str">
        <f>IFERROR((AT17/VLOOKUP(AU17,'RPE vs. %'!$D$3:$P$11,AR17+1,FALSE)),"")</f>
        <v/>
      </c>
      <c r="AW17" s="89"/>
      <c r="AX17" s="27"/>
      <c r="AY17" s="57" t="str">
        <f t="shared" si="25"/>
        <v/>
      </c>
      <c r="AZ17" s="57" t="str">
        <f t="shared" si="26"/>
        <v/>
      </c>
      <c r="BA17" s="57" t="str">
        <f t="shared" si="27"/>
        <v/>
      </c>
      <c r="BB17" s="57" t="str">
        <f t="shared" si="28"/>
        <v/>
      </c>
      <c r="BC17" s="57" t="str">
        <f t="shared" si="29"/>
        <v/>
      </c>
      <c r="BD17" s="57" t="str">
        <f t="shared" si="30"/>
        <v/>
      </c>
      <c r="BE17" s="57" t="str">
        <f t="shared" si="31"/>
        <v/>
      </c>
      <c r="BF17" s="57" t="str">
        <f t="shared" si="32"/>
        <v/>
      </c>
      <c r="BG17" s="57" t="str">
        <f t="shared" si="33"/>
        <v/>
      </c>
      <c r="BH17" s="57" t="str">
        <f t="shared" si="34"/>
        <v/>
      </c>
      <c r="BI17" s="57" t="str">
        <f t="shared" si="35"/>
        <v/>
      </c>
      <c r="BJ17" s="57" t="str">
        <f t="shared" si="36"/>
        <v/>
      </c>
      <c r="BK17" s="57" t="str">
        <f t="shared" si="37"/>
        <v/>
      </c>
      <c r="BL17" s="57" t="str">
        <f t="shared" si="38"/>
        <v/>
      </c>
      <c r="BM17" s="57" t="str">
        <f t="shared" si="39"/>
        <v/>
      </c>
      <c r="BN17" s="57" t="str">
        <f t="shared" si="40"/>
        <v/>
      </c>
      <c r="BO17" s="57" t="str">
        <f t="shared" si="41"/>
        <v/>
      </c>
      <c r="BP17" s="57" t="str">
        <f t="shared" si="42"/>
        <v/>
      </c>
      <c r="BQ17" s="57" t="str">
        <f t="shared" si="43"/>
        <v/>
      </c>
      <c r="BR17" s="57" t="str">
        <f t="shared" si="44"/>
        <v/>
      </c>
      <c r="BS17" s="57" t="str">
        <f t="shared" si="45"/>
        <v/>
      </c>
      <c r="BT17" s="57" t="str">
        <f t="shared" si="46"/>
        <v/>
      </c>
      <c r="BU17" s="57" t="str">
        <f t="shared" si="47"/>
        <v/>
      </c>
      <c r="BV17" s="57" t="str">
        <f t="shared" si="48"/>
        <v/>
      </c>
      <c r="BW17" s="27"/>
      <c r="BX17" s="79"/>
      <c r="BY17" s="79"/>
      <c r="BZ17" s="79"/>
      <c r="CA17" s="18"/>
      <c r="CB17" s="79"/>
      <c r="CC17" s="1"/>
      <c r="CD17" s="34" t="str">
        <f>IF(BX17="Squat",IF(CC17&gt;10,MROUND((CC17/100*SQMAX),2.5)," "),IF(BX17="Bench",IF(CC17&gt;10,MROUND((CC17/100*BNMAX),2.5)," "),IF(BX17="Deadlift",IF(CC17&gt;10,MROUND((CC17/100*DLMAX),2.5)," ")," ")))</f>
        <v> </v>
      </c>
      <c r="CE17" s="26"/>
      <c r="CF17" s="88" t="str">
        <f>IFERROR((CD17/VLOOKUP(CE17,'RPE vs. %'!$D$3:$P$11,CB17+1,FALSE)),"")</f>
        <v/>
      </c>
      <c r="CG17" s="89"/>
      <c r="CH17" s="27"/>
      <c r="CI17" s="57" t="str">
        <f t="shared" si="49"/>
        <v/>
      </c>
      <c r="CJ17" s="57" t="str">
        <f t="shared" si="50"/>
        <v/>
      </c>
      <c r="CK17" s="57" t="str">
        <f t="shared" si="51"/>
        <v/>
      </c>
      <c r="CL17" s="57" t="str">
        <f t="shared" si="52"/>
        <v/>
      </c>
      <c r="CM17" s="57" t="str">
        <f t="shared" si="53"/>
        <v/>
      </c>
      <c r="CN17" s="57" t="str">
        <f t="shared" si="54"/>
        <v/>
      </c>
      <c r="CO17" s="57" t="str">
        <f t="shared" si="55"/>
        <v/>
      </c>
      <c r="CP17" s="57" t="str">
        <f t="shared" si="56"/>
        <v/>
      </c>
      <c r="CQ17" s="57" t="str">
        <f t="shared" si="57"/>
        <v/>
      </c>
      <c r="CR17" s="57" t="str">
        <f t="shared" si="58"/>
        <v/>
      </c>
      <c r="CS17" s="57" t="str">
        <f t="shared" si="59"/>
        <v/>
      </c>
      <c r="CT17" s="57" t="str">
        <f t="shared" si="60"/>
        <v/>
      </c>
      <c r="CU17" s="57" t="str">
        <f t="shared" si="61"/>
        <v/>
      </c>
      <c r="CV17" s="57" t="str">
        <f t="shared" si="62"/>
        <v/>
      </c>
      <c r="CW17" s="57" t="str">
        <f t="shared" si="63"/>
        <v/>
      </c>
      <c r="CX17" s="57" t="str">
        <f t="shared" si="64"/>
        <v/>
      </c>
      <c r="CY17" s="57" t="str">
        <f t="shared" si="65"/>
        <v/>
      </c>
      <c r="CZ17" s="57" t="str">
        <f t="shared" si="66"/>
        <v/>
      </c>
      <c r="DA17" s="57" t="str">
        <f t="shared" si="67"/>
        <v/>
      </c>
      <c r="DB17" s="57" t="str">
        <f t="shared" si="68"/>
        <v/>
      </c>
      <c r="DC17" s="57" t="str">
        <f t="shared" si="69"/>
        <v/>
      </c>
      <c r="DD17" s="57" t="str">
        <f t="shared" si="70"/>
        <v/>
      </c>
      <c r="DE17" s="57" t="str">
        <f t="shared" si="71"/>
        <v/>
      </c>
      <c r="DF17" s="57" t="str">
        <f t="shared" si="72"/>
        <v/>
      </c>
      <c r="DG17" s="27"/>
      <c r="DH17" s="79"/>
      <c r="DI17" s="79"/>
      <c r="DJ17" s="79"/>
      <c r="DK17" s="18"/>
      <c r="DL17" s="79"/>
      <c r="DM17" s="19"/>
      <c r="DN17" s="34" t="str">
        <f>IF(DH17="Squat",IF(DM17&gt;10,MROUND((DM17/100*SQMAX),2.5)," "),IF(DH17="Bench",IF(DM17&gt;10,MROUND((DM17/100*BNMAX),2.5)," "),IF(DH17="Deadlift",IF(DM17&gt;10,MROUND((DM17/100*DLMAX),2.5)," ")," ")))</f>
        <v> </v>
      </c>
      <c r="DO17" s="26"/>
      <c r="DP17" s="88" t="str">
        <f>IFERROR((DN17/VLOOKUP(DO17,'RPE vs. %'!$D$3:$P$11,DL17+1,FALSE)),"")</f>
        <v/>
      </c>
      <c r="DQ17" s="89"/>
      <c r="DR17" s="27"/>
      <c r="DS17" s="27"/>
      <c r="DT17" s="57" t="str">
        <f t="shared" si="73"/>
        <v/>
      </c>
      <c r="DU17" s="57" t="str">
        <f t="shared" si="74"/>
        <v/>
      </c>
      <c r="DV17" s="57" t="str">
        <f t="shared" si="75"/>
        <v/>
      </c>
      <c r="DW17" s="57" t="str">
        <f t="shared" si="76"/>
        <v/>
      </c>
      <c r="DX17" s="57" t="str">
        <f t="shared" si="77"/>
        <v/>
      </c>
      <c r="DY17" s="57" t="str">
        <f t="shared" si="78"/>
        <v/>
      </c>
      <c r="DZ17" s="57" t="str">
        <f t="shared" si="79"/>
        <v/>
      </c>
      <c r="EA17" s="57" t="str">
        <f t="shared" si="80"/>
        <v/>
      </c>
      <c r="EB17" s="57" t="str">
        <f t="shared" si="81"/>
        <v/>
      </c>
      <c r="EC17" s="57" t="str">
        <f t="shared" si="82"/>
        <v/>
      </c>
      <c r="ED17" s="57" t="str">
        <f t="shared" si="83"/>
        <v/>
      </c>
      <c r="EE17" s="57" t="str">
        <f t="shared" si="84"/>
        <v/>
      </c>
      <c r="EF17" s="57" t="str">
        <f t="shared" si="85"/>
        <v/>
      </c>
      <c r="EG17" s="57" t="str">
        <f t="shared" si="86"/>
        <v/>
      </c>
      <c r="EH17" s="57" t="str">
        <f t="shared" si="87"/>
        <v/>
      </c>
      <c r="EI17" s="57" t="str">
        <f t="shared" si="88"/>
        <v/>
      </c>
      <c r="EJ17" s="57" t="str">
        <f t="shared" si="89"/>
        <v/>
      </c>
      <c r="EK17" s="57" t="str">
        <f t="shared" si="90"/>
        <v/>
      </c>
      <c r="EL17" s="57" t="str">
        <f t="shared" si="91"/>
        <v/>
      </c>
      <c r="EM17" s="57" t="str">
        <f t="shared" si="92"/>
        <v/>
      </c>
      <c r="EN17" s="57" t="str">
        <f t="shared" si="93"/>
        <v/>
      </c>
      <c r="EO17" s="57" t="str">
        <f t="shared" si="94"/>
        <v/>
      </c>
      <c r="EP17" s="57" t="str">
        <f t="shared" si="95"/>
        <v/>
      </c>
      <c r="EQ17" s="57" t="str">
        <f t="shared" si="96"/>
        <v/>
      </c>
      <c r="ER17" s="56" t="str">
        <f t="shared" si="97"/>
        <v>#REF!</v>
      </c>
      <c r="ES17" s="56" t="str">
        <f t="shared" si="98"/>
        <v>#REF!</v>
      </c>
      <c r="ET17" s="56" t="str">
        <f t="shared" si="99"/>
        <v>#REF!</v>
      </c>
      <c r="EU17" s="56" t="str">
        <f t="shared" si="100"/>
        <v>#REF!</v>
      </c>
      <c r="EV17" s="56" t="str">
        <f t="shared" si="101"/>
        <v>#REF!</v>
      </c>
      <c r="EW17" s="56" t="str">
        <f t="shared" si="102"/>
        <v>#REF!</v>
      </c>
      <c r="EX17" s="56" t="str">
        <f t="shared" si="103"/>
        <v>#REF!</v>
      </c>
      <c r="EY17" s="56" t="str">
        <f t="shared" si="104"/>
        <v>#REF!</v>
      </c>
      <c r="EZ17" s="56" t="str">
        <f t="shared" si="105"/>
        <v>#REF!</v>
      </c>
      <c r="FA17" s="56" t="str">
        <f t="shared" si="106"/>
        <v>#REF!</v>
      </c>
      <c r="FB17" s="56" t="str">
        <f t="shared" si="107"/>
        <v>#REF!</v>
      </c>
      <c r="FC17" s="56" t="str">
        <f t="shared" si="108"/>
        <v>#REF!</v>
      </c>
      <c r="FD17" s="56" t="str">
        <f t="shared" si="109"/>
        <v>#REF!</v>
      </c>
      <c r="FE17" s="56" t="str">
        <f t="shared" si="110"/>
        <v>#REF!</v>
      </c>
      <c r="FF17" s="56" t="str">
        <f t="shared" si="111"/>
        <v>#REF!</v>
      </c>
      <c r="FG17" s="56" t="str">
        <f t="shared" si="112"/>
        <v>#REF!</v>
      </c>
      <c r="FH17" s="56" t="str">
        <f t="shared" si="113"/>
        <v>#REF!</v>
      </c>
      <c r="FI17" s="56" t="str">
        <f t="shared" si="114"/>
        <v>#REF!</v>
      </c>
      <c r="FJ17" s="56" t="str">
        <f t="shared" si="115"/>
        <v>#REF!</v>
      </c>
      <c r="FK17" s="56" t="str">
        <f t="shared" si="116"/>
        <v>#REF!</v>
      </c>
      <c r="FL17" s="56" t="str">
        <f t="shared" si="117"/>
        <v>#REF!</v>
      </c>
      <c r="FM17" s="56" t="str">
        <f t="shared" si="118"/>
        <v>#REF!</v>
      </c>
      <c r="FN17" s="56" t="str">
        <f t="shared" si="119"/>
        <v>#REF!</v>
      </c>
      <c r="FO17" s="56" t="str">
        <f t="shared" si="120"/>
        <v>#REF!</v>
      </c>
    </row>
    <row r="18">
      <c r="A18" s="46"/>
      <c r="B18" s="27"/>
      <c r="C18" s="26"/>
      <c r="D18" s="26"/>
      <c r="E18" s="26"/>
      <c r="F18" s="26"/>
      <c r="G18" s="28"/>
      <c r="H18" s="26"/>
      <c r="I18" s="29"/>
      <c r="J18" s="26"/>
      <c r="K18" s="26"/>
      <c r="L18" s="90"/>
      <c r="M18" s="27"/>
      <c r="N18" s="27"/>
      <c r="O18" s="91">
        <f t="shared" ref="O18:AL18" si="121">SUM(O11:O17)</f>
        <v>3</v>
      </c>
      <c r="P18" s="91">
        <f t="shared" si="121"/>
        <v>2025</v>
      </c>
      <c r="Q18" s="91">
        <f t="shared" si="121"/>
        <v>3</v>
      </c>
      <c r="R18" s="91">
        <f t="shared" si="121"/>
        <v>2340</v>
      </c>
      <c r="S18" s="91">
        <f t="shared" si="121"/>
        <v>0</v>
      </c>
      <c r="T18" s="91">
        <f t="shared" si="121"/>
        <v>0</v>
      </c>
      <c r="U18" s="91">
        <f t="shared" si="121"/>
        <v>0</v>
      </c>
      <c r="V18" s="91">
        <f t="shared" si="121"/>
        <v>0</v>
      </c>
      <c r="W18" s="91">
        <f t="shared" si="121"/>
        <v>0</v>
      </c>
      <c r="X18" s="91">
        <f t="shared" si="121"/>
        <v>0</v>
      </c>
      <c r="Y18" s="91">
        <f t="shared" si="121"/>
        <v>0</v>
      </c>
      <c r="Z18" s="91">
        <f t="shared" si="121"/>
        <v>0</v>
      </c>
      <c r="AA18" s="91">
        <f t="shared" si="121"/>
        <v>0</v>
      </c>
      <c r="AB18" s="91">
        <f t="shared" si="121"/>
        <v>0</v>
      </c>
      <c r="AC18" s="91">
        <f t="shared" si="121"/>
        <v>0</v>
      </c>
      <c r="AD18" s="91">
        <f t="shared" si="121"/>
        <v>0</v>
      </c>
      <c r="AE18" s="91">
        <f t="shared" si="121"/>
        <v>0</v>
      </c>
      <c r="AF18" s="91">
        <f t="shared" si="121"/>
        <v>0</v>
      </c>
      <c r="AG18" s="91">
        <f t="shared" si="121"/>
        <v>0</v>
      </c>
      <c r="AH18" s="91">
        <f t="shared" si="121"/>
        <v>0</v>
      </c>
      <c r="AI18" s="91">
        <f t="shared" si="121"/>
        <v>0</v>
      </c>
      <c r="AJ18" s="91">
        <f t="shared" si="121"/>
        <v>0</v>
      </c>
      <c r="AK18" s="91">
        <f t="shared" si="121"/>
        <v>0</v>
      </c>
      <c r="AL18" s="91">
        <f t="shared" si="121"/>
        <v>0</v>
      </c>
      <c r="AM18" s="27"/>
      <c r="AN18" s="26"/>
      <c r="AO18" s="26"/>
      <c r="AP18" s="26"/>
      <c r="AQ18" s="28"/>
      <c r="AR18" s="26"/>
      <c r="AS18" s="29"/>
      <c r="AT18" s="26"/>
      <c r="AU18" s="26"/>
      <c r="AV18" s="90"/>
      <c r="AW18" s="27"/>
      <c r="AX18" s="27"/>
      <c r="AY18" s="91">
        <f t="shared" ref="AY18:BV18" si="122">SUM(AY11:AY17)</f>
        <v>0</v>
      </c>
      <c r="AZ18" s="91">
        <f t="shared" si="122"/>
        <v>0</v>
      </c>
      <c r="BA18" s="91">
        <f t="shared" si="122"/>
        <v>3</v>
      </c>
      <c r="BB18" s="91">
        <f t="shared" si="122"/>
        <v>1350</v>
      </c>
      <c r="BC18" s="91">
        <f t="shared" si="122"/>
        <v>5</v>
      </c>
      <c r="BD18" s="91">
        <f t="shared" si="122"/>
        <v>3300</v>
      </c>
      <c r="BE18" s="91">
        <f t="shared" si="122"/>
        <v>0</v>
      </c>
      <c r="BF18" s="91">
        <f t="shared" si="122"/>
        <v>0</v>
      </c>
      <c r="BG18" s="91">
        <f t="shared" si="122"/>
        <v>0</v>
      </c>
      <c r="BH18" s="91">
        <f t="shared" si="122"/>
        <v>0</v>
      </c>
      <c r="BI18" s="91">
        <f t="shared" si="122"/>
        <v>0</v>
      </c>
      <c r="BJ18" s="91">
        <f t="shared" si="122"/>
        <v>0</v>
      </c>
      <c r="BK18" s="91">
        <f t="shared" si="122"/>
        <v>0</v>
      </c>
      <c r="BL18" s="91">
        <f t="shared" si="122"/>
        <v>0</v>
      </c>
      <c r="BM18" s="91">
        <f t="shared" si="122"/>
        <v>0</v>
      </c>
      <c r="BN18" s="91">
        <f t="shared" si="122"/>
        <v>0</v>
      </c>
      <c r="BO18" s="91">
        <f t="shared" si="122"/>
        <v>0</v>
      </c>
      <c r="BP18" s="91">
        <f t="shared" si="122"/>
        <v>0</v>
      </c>
      <c r="BQ18" s="91">
        <f t="shared" si="122"/>
        <v>0</v>
      </c>
      <c r="BR18" s="91">
        <f t="shared" si="122"/>
        <v>0</v>
      </c>
      <c r="BS18" s="91">
        <f t="shared" si="122"/>
        <v>0</v>
      </c>
      <c r="BT18" s="91">
        <f t="shared" si="122"/>
        <v>0</v>
      </c>
      <c r="BU18" s="91">
        <f t="shared" si="122"/>
        <v>0</v>
      </c>
      <c r="BV18" s="91">
        <f t="shared" si="122"/>
        <v>0</v>
      </c>
      <c r="BW18" s="27"/>
      <c r="BX18" s="26"/>
      <c r="BY18" s="26"/>
      <c r="BZ18" s="26"/>
      <c r="CA18" s="28"/>
      <c r="CB18" s="26"/>
      <c r="CC18" s="29"/>
      <c r="CD18" s="26"/>
      <c r="CE18" s="26"/>
      <c r="CF18" s="90"/>
      <c r="CG18" s="27"/>
      <c r="CH18" s="27"/>
      <c r="CI18" s="91">
        <f t="shared" ref="CI18:DF18" si="123">SUM(CI11:CI17)</f>
        <v>3</v>
      </c>
      <c r="CJ18" s="91">
        <f t="shared" si="123"/>
        <v>1912.5</v>
      </c>
      <c r="CK18" s="91">
        <f t="shared" si="123"/>
        <v>6</v>
      </c>
      <c r="CL18" s="91">
        <f t="shared" si="123"/>
        <v>1630</v>
      </c>
      <c r="CM18" s="91">
        <f t="shared" si="123"/>
        <v>0</v>
      </c>
      <c r="CN18" s="91">
        <f t="shared" si="123"/>
        <v>0</v>
      </c>
      <c r="CO18" s="91">
        <f t="shared" si="123"/>
        <v>0</v>
      </c>
      <c r="CP18" s="91">
        <f t="shared" si="123"/>
        <v>0</v>
      </c>
      <c r="CQ18" s="91">
        <f t="shared" si="123"/>
        <v>0</v>
      </c>
      <c r="CR18" s="91">
        <f t="shared" si="123"/>
        <v>0</v>
      </c>
      <c r="CS18" s="91">
        <f t="shared" si="123"/>
        <v>0</v>
      </c>
      <c r="CT18" s="91">
        <f t="shared" si="123"/>
        <v>0</v>
      </c>
      <c r="CU18" s="91">
        <f t="shared" si="123"/>
        <v>0</v>
      </c>
      <c r="CV18" s="91">
        <f t="shared" si="123"/>
        <v>0</v>
      </c>
      <c r="CW18" s="91">
        <f t="shared" si="123"/>
        <v>0</v>
      </c>
      <c r="CX18" s="91">
        <f t="shared" si="123"/>
        <v>0</v>
      </c>
      <c r="CY18" s="91">
        <f t="shared" si="123"/>
        <v>0</v>
      </c>
      <c r="CZ18" s="91">
        <f t="shared" si="123"/>
        <v>0</v>
      </c>
      <c r="DA18" s="91">
        <f t="shared" si="123"/>
        <v>0</v>
      </c>
      <c r="DB18" s="91">
        <f t="shared" si="123"/>
        <v>0</v>
      </c>
      <c r="DC18" s="91">
        <f t="shared" si="123"/>
        <v>0</v>
      </c>
      <c r="DD18" s="91">
        <f t="shared" si="123"/>
        <v>0</v>
      </c>
      <c r="DE18" s="91">
        <f t="shared" si="123"/>
        <v>0</v>
      </c>
      <c r="DF18" s="91">
        <f t="shared" si="123"/>
        <v>0</v>
      </c>
      <c r="DG18" s="27"/>
      <c r="DH18" s="26"/>
      <c r="DI18" s="26"/>
      <c r="DJ18" s="26"/>
      <c r="DK18" s="28"/>
      <c r="DL18" s="26"/>
      <c r="DM18" s="36"/>
      <c r="DN18" s="26"/>
      <c r="DO18" s="26"/>
      <c r="DP18" s="90"/>
      <c r="DQ18" s="27"/>
      <c r="DR18" s="27"/>
      <c r="DS18" s="27"/>
      <c r="DT18" s="91">
        <f t="shared" ref="DT18:FO18" si="124">SUM(DT11:DT17)</f>
        <v>3</v>
      </c>
      <c r="DU18" s="91">
        <f t="shared" si="124"/>
        <v>1485</v>
      </c>
      <c r="DV18" s="91">
        <f t="shared" si="124"/>
        <v>3</v>
      </c>
      <c r="DW18" s="91">
        <f t="shared" si="124"/>
        <v>1035</v>
      </c>
      <c r="DX18" s="91">
        <f t="shared" si="124"/>
        <v>3</v>
      </c>
      <c r="DY18" s="91">
        <f t="shared" si="124"/>
        <v>1845</v>
      </c>
      <c r="DZ18" s="91">
        <f t="shared" si="124"/>
        <v>0</v>
      </c>
      <c r="EA18" s="91">
        <f t="shared" si="124"/>
        <v>0</v>
      </c>
      <c r="EB18" s="91">
        <f t="shared" si="124"/>
        <v>0</v>
      </c>
      <c r="EC18" s="91">
        <f t="shared" si="124"/>
        <v>0</v>
      </c>
      <c r="ED18" s="91">
        <f t="shared" si="124"/>
        <v>0</v>
      </c>
      <c r="EE18" s="91">
        <f t="shared" si="124"/>
        <v>0</v>
      </c>
      <c r="EF18" s="91">
        <f t="shared" si="124"/>
        <v>0</v>
      </c>
      <c r="EG18" s="91">
        <f t="shared" si="124"/>
        <v>0</v>
      </c>
      <c r="EH18" s="91">
        <f t="shared" si="124"/>
        <v>0</v>
      </c>
      <c r="EI18" s="91">
        <f t="shared" si="124"/>
        <v>0</v>
      </c>
      <c r="EJ18" s="91">
        <f t="shared" si="124"/>
        <v>0</v>
      </c>
      <c r="EK18" s="91">
        <f t="shared" si="124"/>
        <v>0</v>
      </c>
      <c r="EL18" s="91">
        <f t="shared" si="124"/>
        <v>0</v>
      </c>
      <c r="EM18" s="91">
        <f t="shared" si="124"/>
        <v>0</v>
      </c>
      <c r="EN18" s="91">
        <f t="shared" si="124"/>
        <v>0</v>
      </c>
      <c r="EO18" s="91">
        <f t="shared" si="124"/>
        <v>0</v>
      </c>
      <c r="EP18" s="91">
        <f t="shared" si="124"/>
        <v>0</v>
      </c>
      <c r="EQ18" s="91">
        <f t="shared" si="124"/>
        <v>0</v>
      </c>
      <c r="ER18" s="91" t="str">
        <f t="shared" si="124"/>
        <v>#REF!</v>
      </c>
      <c r="ES18" s="91" t="str">
        <f t="shared" si="124"/>
        <v>#REF!</v>
      </c>
      <c r="ET18" s="91" t="str">
        <f t="shared" si="124"/>
        <v>#REF!</v>
      </c>
      <c r="EU18" s="91" t="str">
        <f t="shared" si="124"/>
        <v>#REF!</v>
      </c>
      <c r="EV18" s="91" t="str">
        <f t="shared" si="124"/>
        <v>#REF!</v>
      </c>
      <c r="EW18" s="91" t="str">
        <f t="shared" si="124"/>
        <v>#REF!</v>
      </c>
      <c r="EX18" s="91" t="str">
        <f t="shared" si="124"/>
        <v>#REF!</v>
      </c>
      <c r="EY18" s="91" t="str">
        <f t="shared" si="124"/>
        <v>#REF!</v>
      </c>
      <c r="EZ18" s="91" t="str">
        <f t="shared" si="124"/>
        <v>#REF!</v>
      </c>
      <c r="FA18" s="91" t="str">
        <f t="shared" si="124"/>
        <v>#REF!</v>
      </c>
      <c r="FB18" s="91" t="str">
        <f t="shared" si="124"/>
        <v>#REF!</v>
      </c>
      <c r="FC18" s="91" t="str">
        <f t="shared" si="124"/>
        <v>#REF!</v>
      </c>
      <c r="FD18" s="91" t="str">
        <f t="shared" si="124"/>
        <v>#REF!</v>
      </c>
      <c r="FE18" s="91" t="str">
        <f t="shared" si="124"/>
        <v>#REF!</v>
      </c>
      <c r="FF18" s="91" t="str">
        <f t="shared" si="124"/>
        <v>#REF!</v>
      </c>
      <c r="FG18" s="91" t="str">
        <f t="shared" si="124"/>
        <v>#REF!</v>
      </c>
      <c r="FH18" s="91" t="str">
        <f t="shared" si="124"/>
        <v>#REF!</v>
      </c>
      <c r="FI18" s="91" t="str">
        <f t="shared" si="124"/>
        <v>#REF!</v>
      </c>
      <c r="FJ18" s="91" t="str">
        <f t="shared" si="124"/>
        <v>#REF!</v>
      </c>
      <c r="FK18" s="91" t="str">
        <f t="shared" si="124"/>
        <v>#REF!</v>
      </c>
      <c r="FL18" s="91" t="str">
        <f t="shared" si="124"/>
        <v>#REF!</v>
      </c>
      <c r="FM18" s="91" t="str">
        <f t="shared" si="124"/>
        <v>#REF!</v>
      </c>
      <c r="FN18" s="91" t="str">
        <f t="shared" si="124"/>
        <v>#REF!</v>
      </c>
      <c r="FO18" s="91" t="str">
        <f t="shared" si="124"/>
        <v>#REF!</v>
      </c>
    </row>
    <row r="19">
      <c r="A19" s="26"/>
      <c r="B19" s="27"/>
      <c r="C19" s="26"/>
      <c r="D19" s="37" t="s">
        <v>23</v>
      </c>
      <c r="E19" s="37" t="s">
        <v>24</v>
      </c>
      <c r="F19" s="38" t="s">
        <v>25</v>
      </c>
      <c r="G19" s="39" t="s">
        <v>26</v>
      </c>
      <c r="H19" s="40" t="s">
        <v>27</v>
      </c>
      <c r="I19" s="41" t="s">
        <v>28</v>
      </c>
      <c r="J19" s="37" t="s">
        <v>29</v>
      </c>
      <c r="K19" s="37" t="s">
        <v>30</v>
      </c>
      <c r="L19" s="92" t="s">
        <v>31</v>
      </c>
      <c r="M19" s="93" t="s">
        <v>32</v>
      </c>
      <c r="N19" s="27"/>
      <c r="O19" s="94" t="s">
        <v>54</v>
      </c>
      <c r="AM19" s="27"/>
      <c r="AN19" s="37" t="s">
        <v>23</v>
      </c>
      <c r="AO19" s="37" t="s">
        <v>24</v>
      </c>
      <c r="AP19" s="38" t="s">
        <v>25</v>
      </c>
      <c r="AQ19" s="39" t="s">
        <v>26</v>
      </c>
      <c r="AR19" s="40" t="s">
        <v>27</v>
      </c>
      <c r="AS19" s="41" t="s">
        <v>28</v>
      </c>
      <c r="AT19" s="37" t="s">
        <v>29</v>
      </c>
      <c r="AU19" s="37" t="s">
        <v>30</v>
      </c>
      <c r="AV19" s="92" t="s">
        <v>31</v>
      </c>
      <c r="AW19" s="93" t="s">
        <v>32</v>
      </c>
      <c r="AX19" s="27"/>
      <c r="AY19" s="94" t="s">
        <v>54</v>
      </c>
      <c r="BW19" s="27"/>
      <c r="BX19" s="37" t="s">
        <v>23</v>
      </c>
      <c r="BY19" s="37" t="s">
        <v>24</v>
      </c>
      <c r="BZ19" s="38" t="s">
        <v>25</v>
      </c>
      <c r="CA19" s="39" t="s">
        <v>26</v>
      </c>
      <c r="CB19" s="40" t="s">
        <v>27</v>
      </c>
      <c r="CC19" s="41" t="s">
        <v>28</v>
      </c>
      <c r="CD19" s="37" t="s">
        <v>29</v>
      </c>
      <c r="CE19" s="37" t="s">
        <v>30</v>
      </c>
      <c r="CF19" s="92" t="s">
        <v>31</v>
      </c>
      <c r="CG19" s="93" t="s">
        <v>32</v>
      </c>
      <c r="CH19" s="27"/>
      <c r="CI19" s="94" t="s">
        <v>54</v>
      </c>
      <c r="DG19" s="27"/>
      <c r="DH19" s="37" t="s">
        <v>23</v>
      </c>
      <c r="DI19" s="37" t="s">
        <v>24</v>
      </c>
      <c r="DJ19" s="38" t="s">
        <v>25</v>
      </c>
      <c r="DK19" s="39" t="s">
        <v>26</v>
      </c>
      <c r="DL19" s="40" t="s">
        <v>27</v>
      </c>
      <c r="DM19" s="44" t="s">
        <v>28</v>
      </c>
      <c r="DN19" s="37" t="s">
        <v>29</v>
      </c>
      <c r="DO19" s="37" t="s">
        <v>30</v>
      </c>
      <c r="DP19" s="92" t="s">
        <v>31</v>
      </c>
      <c r="DQ19" s="93" t="s">
        <v>32</v>
      </c>
      <c r="DR19" s="27"/>
      <c r="DS19" s="27"/>
      <c r="DT19" s="94" t="s">
        <v>54</v>
      </c>
      <c r="ER19" s="94" t="s">
        <v>54</v>
      </c>
    </row>
    <row r="20">
      <c r="A20" s="26"/>
      <c r="B20" s="95" t="s">
        <v>55</v>
      </c>
      <c r="C20" s="96"/>
      <c r="D20" s="97" t="str">
        <f t="shared" ref="D20:H20" si="125">D11</f>
        <v>Squat</v>
      </c>
      <c r="E20" s="98" t="str">
        <f t="shared" si="125"/>
        <v/>
      </c>
      <c r="F20" s="99" t="str">
        <f t="shared" si="125"/>
        <v>Squat 4/1/0</v>
      </c>
      <c r="G20" s="50">
        <f t="shared" si="125"/>
        <v>2</v>
      </c>
      <c r="H20" s="100">
        <f t="shared" si="125"/>
        <v>5</v>
      </c>
      <c r="I20" s="52">
        <v>70.0</v>
      </c>
      <c r="J20" s="53">
        <f>IF(D20="Squat",IF(I20&gt;10,MROUND((I20/100*SQMAX),2.5)," "),IF(D20="Bench",IF(I20&gt;10,MROUND((I20/100*BNMAX),2.5)," "),IF(D20="Deadlift",IF(I20&gt;10,MROUND((I20/100*DLMAX),2.5)," ")," ")))</f>
        <v>140</v>
      </c>
      <c r="K20" s="101">
        <v>7.5</v>
      </c>
      <c r="L20" s="102">
        <f>IFERROR((J20/VLOOKUP(K20,'RPE vs. %'!$D$3:$P$11,H20+1,FALSE)),"")</f>
        <v>175.2190238</v>
      </c>
      <c r="M20" s="103" t="s">
        <v>56</v>
      </c>
      <c r="N20" s="27"/>
      <c r="O20" s="104" t="s">
        <v>11</v>
      </c>
      <c r="Q20" s="105" t="s">
        <v>12</v>
      </c>
      <c r="S20" s="106" t="s">
        <v>13</v>
      </c>
      <c r="U20" s="33" t="s">
        <v>14</v>
      </c>
      <c r="W20" s="56" t="s">
        <v>15</v>
      </c>
      <c r="Y20" s="35" t="s">
        <v>16</v>
      </c>
      <c r="AA20" s="56" t="s">
        <v>17</v>
      </c>
      <c r="AC20" s="56" t="s">
        <v>18</v>
      </c>
      <c r="AE20" s="56" t="s">
        <v>19</v>
      </c>
      <c r="AG20" s="56" t="s">
        <v>20</v>
      </c>
      <c r="AI20" s="56" t="s">
        <v>21</v>
      </c>
      <c r="AK20" s="56" t="s">
        <v>22</v>
      </c>
      <c r="AM20" s="27"/>
      <c r="AN20" s="107" t="str">
        <f t="shared" ref="AN20:AR20" si="126">AN11</f>
        <v>Deadlift</v>
      </c>
      <c r="AO20" s="108" t="str">
        <f t="shared" si="126"/>
        <v/>
      </c>
      <c r="AP20" s="109" t="str">
        <f t="shared" si="126"/>
        <v>Deadlift</v>
      </c>
      <c r="AQ20" s="61">
        <f t="shared" si="126"/>
        <v>3</v>
      </c>
      <c r="AR20" s="110">
        <f t="shared" si="126"/>
        <v>3</v>
      </c>
      <c r="AS20" s="111">
        <f t="shared" ref="AS20:AS22" si="131">AS11+3</f>
        <v>83</v>
      </c>
      <c r="AT20" s="32">
        <f>IF(AN20="Squat",IF(AS20&gt;10,MROUND((AS20/100*SQMAX),2.5)," "),IF(AN20="Bench",IF(AS20&gt;10,MROUND((AS20/100*BNMAX),2.5)," "),IF(AN20="Deadlift",IF(AS20&gt;10,MROUND((AS20/100*DLMAX),2.5)," ")," ")))</f>
        <v>207.5</v>
      </c>
      <c r="AU20" s="27"/>
      <c r="AV20" s="54" t="str">
        <f>IFERROR((AT20/VLOOKUP(AU20,'RPE vs. %'!$D$3:$P$11,AR20+1,FALSE)),"")</f>
        <v/>
      </c>
      <c r="AW20" s="103" t="s">
        <v>37</v>
      </c>
      <c r="AX20" s="27"/>
      <c r="AY20" s="104" t="s">
        <v>11</v>
      </c>
      <c r="BA20" s="105" t="s">
        <v>12</v>
      </c>
      <c r="BC20" s="106" t="s">
        <v>13</v>
      </c>
      <c r="BE20" s="33" t="s">
        <v>14</v>
      </c>
      <c r="BG20" s="56" t="s">
        <v>15</v>
      </c>
      <c r="BI20" s="35" t="s">
        <v>16</v>
      </c>
      <c r="BK20" s="56" t="s">
        <v>17</v>
      </c>
      <c r="BM20" s="56" t="s">
        <v>18</v>
      </c>
      <c r="BO20" s="56" t="s">
        <v>19</v>
      </c>
      <c r="BQ20" s="56" t="s">
        <v>20</v>
      </c>
      <c r="BS20" s="56" t="s">
        <v>21</v>
      </c>
      <c r="BU20" s="56" t="s">
        <v>22</v>
      </c>
      <c r="BW20" s="27"/>
      <c r="BX20" s="97" t="str">
        <f t="shared" ref="BX20:CB20" si="127">BX11</f>
        <v>Squat</v>
      </c>
      <c r="BY20" s="98" t="str">
        <f t="shared" si="127"/>
        <v/>
      </c>
      <c r="BZ20" s="99" t="str">
        <f t="shared" si="127"/>
        <v>Squat pause</v>
      </c>
      <c r="CA20" s="50">
        <f t="shared" si="127"/>
        <v>3</v>
      </c>
      <c r="CB20" s="100">
        <f t="shared" si="127"/>
        <v>5</v>
      </c>
      <c r="CC20" s="112">
        <f>CC11+4</f>
        <v>68</v>
      </c>
      <c r="CD20" s="53">
        <f>IF(BX20="Squat",IF(CC20&gt;10,MROUND((CC20/100*SQMAX),2.5)," "),IF(BX20="Bench",IF(CC20&gt;10,MROUND((CC20/100*BNMAX),2.5)," "),IF(BX20="Deadlift",IF(CC20&gt;10,MROUND((CC20/100*DLMAX),2.5)," ")," ")))</f>
        <v>135</v>
      </c>
      <c r="CE20" s="27"/>
      <c r="CF20" s="54" t="str">
        <f>IFERROR((CD20/VLOOKUP(CE20,'RPE vs. %'!$D$3:$P$11,CB20+1,FALSE)),"")</f>
        <v/>
      </c>
      <c r="CG20" s="103" t="s">
        <v>37</v>
      </c>
      <c r="CH20" s="27"/>
      <c r="CI20" s="104" t="s">
        <v>11</v>
      </c>
      <c r="CK20" s="105" t="s">
        <v>12</v>
      </c>
      <c r="CM20" s="106" t="s">
        <v>13</v>
      </c>
      <c r="CO20" s="33" t="s">
        <v>14</v>
      </c>
      <c r="CQ20" s="56" t="s">
        <v>15</v>
      </c>
      <c r="CS20" s="35" t="s">
        <v>16</v>
      </c>
      <c r="CU20" s="56" t="s">
        <v>17</v>
      </c>
      <c r="CW20" s="56" t="s">
        <v>18</v>
      </c>
      <c r="CY20" s="56" t="s">
        <v>19</v>
      </c>
      <c r="DA20" s="56" t="s">
        <v>20</v>
      </c>
      <c r="DC20" s="56" t="s">
        <v>21</v>
      </c>
      <c r="DE20" s="56" t="s">
        <v>22</v>
      </c>
      <c r="DG20" s="27"/>
      <c r="DH20" s="97" t="str">
        <f t="shared" ref="DH20:DL20" si="128">DH11</f>
        <v>Squat</v>
      </c>
      <c r="DI20" s="98" t="str">
        <f t="shared" si="128"/>
        <v/>
      </c>
      <c r="DJ20" s="99" t="str">
        <f t="shared" si="128"/>
        <v>Squat</v>
      </c>
      <c r="DK20" s="50">
        <f t="shared" si="128"/>
        <v>3</v>
      </c>
      <c r="DL20" s="100">
        <f t="shared" si="128"/>
        <v>3</v>
      </c>
      <c r="DM20" s="113">
        <f t="shared" ref="DM20:DM22" si="134">DM11+3</f>
        <v>85</v>
      </c>
      <c r="DN20" s="53">
        <f>IF(DH20="Squat",IF(DM20&gt;10,MROUND((DM20/100*SQMAX),2.5)," "),IF(DH20="Bench",IF(DM20&gt;10,MROUND((DM20/100*BNMAX),2.5)," "),IF(DH20="Deadlift",IF(DM20&gt;10,MROUND((DM20/100*DLMAX),2.5)," ")," ")))</f>
        <v>170</v>
      </c>
      <c r="DO20" s="27"/>
      <c r="DP20" s="54" t="str">
        <f>IFERROR((DN20/VLOOKUP(DO20,'RPE vs. %'!$D$3:$P$11,DL20+1,FALSE)),"")</f>
        <v/>
      </c>
      <c r="DQ20" s="103" t="s">
        <v>37</v>
      </c>
      <c r="DR20" s="27"/>
      <c r="DS20" s="27"/>
      <c r="DT20" s="104" t="s">
        <v>11</v>
      </c>
      <c r="DV20" s="105" t="s">
        <v>12</v>
      </c>
      <c r="DX20" s="106" t="s">
        <v>13</v>
      </c>
      <c r="DZ20" s="33" t="s">
        <v>14</v>
      </c>
      <c r="EB20" s="56" t="s">
        <v>15</v>
      </c>
      <c r="ED20" s="35" t="s">
        <v>16</v>
      </c>
      <c r="EF20" s="56" t="s">
        <v>17</v>
      </c>
      <c r="EH20" s="56" t="s">
        <v>18</v>
      </c>
      <c r="EJ20" s="56" t="s">
        <v>19</v>
      </c>
      <c r="EL20" s="56" t="s">
        <v>20</v>
      </c>
      <c r="EN20" s="56" t="s">
        <v>21</v>
      </c>
      <c r="EP20" s="56" t="s">
        <v>22</v>
      </c>
      <c r="ER20" s="104" t="s">
        <v>11</v>
      </c>
      <c r="ET20" s="105" t="s">
        <v>12</v>
      </c>
      <c r="EV20" s="106" t="s">
        <v>13</v>
      </c>
      <c r="EX20" s="33" t="s">
        <v>14</v>
      </c>
      <c r="EZ20" s="56" t="s">
        <v>15</v>
      </c>
      <c r="FB20" s="35" t="s">
        <v>16</v>
      </c>
      <c r="FD20" s="56" t="s">
        <v>17</v>
      </c>
      <c r="FF20" s="56" t="s">
        <v>18</v>
      </c>
      <c r="FH20" s="56" t="s">
        <v>19</v>
      </c>
      <c r="FJ20" s="56" t="s">
        <v>20</v>
      </c>
      <c r="FL20" s="56" t="s">
        <v>21</v>
      </c>
      <c r="FN20" s="56" t="s">
        <v>22</v>
      </c>
    </row>
    <row r="21">
      <c r="A21" s="27"/>
      <c r="C21" s="96"/>
      <c r="D21" s="47" t="str">
        <f t="shared" ref="D21:H21" si="129">D12</f>
        <v>Squat</v>
      </c>
      <c r="E21" s="48" t="str">
        <f t="shared" si="129"/>
        <v/>
      </c>
      <c r="F21" s="49" t="str">
        <f t="shared" si="129"/>
        <v>Squat</v>
      </c>
      <c r="G21" s="50">
        <f t="shared" si="129"/>
        <v>1</v>
      </c>
      <c r="H21" s="51">
        <f t="shared" si="129"/>
        <v>5</v>
      </c>
      <c r="I21" s="64">
        <f t="shared" ref="I21:I22" si="136">I12+3</f>
        <v>75</v>
      </c>
      <c r="J21" s="53">
        <f>IF(D21="Squat",IF(I21&gt;10,MROUND((I21/100*SQMAX),2.5)," "),IF(D21="Bench",IF(I21&gt;10,MROUND((I21/100*BNMAX),2.5)," "),IF(D21="Deadlift",IF(I21&gt;10,MROUND((I21/100*DLMAX),2.5)," ")," ")))</f>
        <v>150</v>
      </c>
      <c r="K21" s="26"/>
      <c r="L21" s="66" t="str">
        <f>IFERROR((J21/VLOOKUP(K21,'RPE vs. %'!$D$3:$P$11,H21+1,FALSE)),"")</f>
        <v/>
      </c>
      <c r="M21" s="67"/>
      <c r="N21" s="27"/>
      <c r="O21" s="43" t="s">
        <v>33</v>
      </c>
      <c r="P21" s="43" t="s">
        <v>34</v>
      </c>
      <c r="Q21" s="43" t="s">
        <v>33</v>
      </c>
      <c r="R21" s="43" t="s">
        <v>34</v>
      </c>
      <c r="S21" s="43" t="s">
        <v>33</v>
      </c>
      <c r="T21" s="43" t="s">
        <v>34</v>
      </c>
      <c r="U21" s="43" t="s">
        <v>33</v>
      </c>
      <c r="V21" s="43" t="s">
        <v>34</v>
      </c>
      <c r="W21" s="43" t="s">
        <v>33</v>
      </c>
      <c r="X21" s="43" t="s">
        <v>34</v>
      </c>
      <c r="Y21" s="43" t="s">
        <v>33</v>
      </c>
      <c r="Z21" s="43" t="s">
        <v>34</v>
      </c>
      <c r="AA21" s="43" t="s">
        <v>33</v>
      </c>
      <c r="AB21" s="43" t="s">
        <v>34</v>
      </c>
      <c r="AC21" s="43" t="s">
        <v>33</v>
      </c>
      <c r="AD21" s="43" t="s">
        <v>34</v>
      </c>
      <c r="AE21" s="43" t="s">
        <v>33</v>
      </c>
      <c r="AF21" s="43" t="s">
        <v>34</v>
      </c>
      <c r="AG21" s="43" t="s">
        <v>33</v>
      </c>
      <c r="AH21" s="43" t="s">
        <v>34</v>
      </c>
      <c r="AI21" s="43" t="s">
        <v>33</v>
      </c>
      <c r="AJ21" s="43" t="s">
        <v>34</v>
      </c>
      <c r="AK21" s="43" t="s">
        <v>33</v>
      </c>
      <c r="AL21" s="43" t="s">
        <v>34</v>
      </c>
      <c r="AM21" s="27"/>
      <c r="AN21" s="58" t="str">
        <f t="shared" ref="AN21:AR21" si="130">AN12</f>
        <v>Deadlift</v>
      </c>
      <c r="AO21" s="59" t="str">
        <f t="shared" si="130"/>
        <v/>
      </c>
      <c r="AP21" s="60" t="str">
        <f t="shared" si="130"/>
        <v>Deadlift pause</v>
      </c>
      <c r="AQ21" s="61">
        <f t="shared" si="130"/>
        <v>2</v>
      </c>
      <c r="AR21" s="62">
        <f t="shared" si="130"/>
        <v>5</v>
      </c>
      <c r="AS21" s="111">
        <f t="shared" si="131"/>
        <v>63</v>
      </c>
      <c r="AT21" s="32">
        <f>IF(AN21="Squat",IF(AS21&gt;10,MROUND((AS21/100*SQMAX),2.5)," "),IF(AN21="Bench",IF(AS21&gt;10,MROUND((AS21/100*BNMAX),2.5)," "),IF(AN21="Deadlift",IF(AS21&gt;10,MROUND((AS21/100*DLMAX),2.5)," ")," ")))</f>
        <v>157.5</v>
      </c>
      <c r="AU21" s="26"/>
      <c r="AV21" s="66" t="str">
        <f>IFERROR((AT21/VLOOKUP(AU21,'RPE vs. %'!$D$3:$P$11,AR21+1,FALSE)),"")</f>
        <v/>
      </c>
      <c r="AW21" s="67"/>
      <c r="AX21" s="27"/>
      <c r="AY21" s="43" t="s">
        <v>33</v>
      </c>
      <c r="AZ21" s="43" t="s">
        <v>34</v>
      </c>
      <c r="BA21" s="43" t="s">
        <v>33</v>
      </c>
      <c r="BB21" s="43" t="s">
        <v>34</v>
      </c>
      <c r="BC21" s="43" t="s">
        <v>33</v>
      </c>
      <c r="BD21" s="43" t="s">
        <v>34</v>
      </c>
      <c r="BE21" s="43" t="s">
        <v>33</v>
      </c>
      <c r="BF21" s="43" t="s">
        <v>34</v>
      </c>
      <c r="BG21" s="43" t="s">
        <v>33</v>
      </c>
      <c r="BH21" s="43" t="s">
        <v>34</v>
      </c>
      <c r="BI21" s="43" t="s">
        <v>33</v>
      </c>
      <c r="BJ21" s="43" t="s">
        <v>34</v>
      </c>
      <c r="BK21" s="43" t="s">
        <v>33</v>
      </c>
      <c r="BL21" s="43" t="s">
        <v>34</v>
      </c>
      <c r="BM21" s="43" t="s">
        <v>33</v>
      </c>
      <c r="BN21" s="43" t="s">
        <v>34</v>
      </c>
      <c r="BO21" s="43" t="s">
        <v>33</v>
      </c>
      <c r="BP21" s="43" t="s">
        <v>34</v>
      </c>
      <c r="BQ21" s="43" t="s">
        <v>33</v>
      </c>
      <c r="BR21" s="43" t="s">
        <v>34</v>
      </c>
      <c r="BS21" s="43" t="s">
        <v>33</v>
      </c>
      <c r="BT21" s="43" t="s">
        <v>34</v>
      </c>
      <c r="BU21" s="43" t="s">
        <v>33</v>
      </c>
      <c r="BV21" s="43" t="s">
        <v>34</v>
      </c>
      <c r="BW21" s="27"/>
      <c r="BX21" s="69" t="str">
        <f t="shared" ref="BX21:CB21" si="132">BX12</f>
        <v>Bench</v>
      </c>
      <c r="BY21" s="70" t="str">
        <f t="shared" si="132"/>
        <v/>
      </c>
      <c r="BZ21" s="71" t="str">
        <f t="shared" si="132"/>
        <v>Bench</v>
      </c>
      <c r="CA21" s="72">
        <f t="shared" si="132"/>
        <v>4</v>
      </c>
      <c r="CB21" s="73">
        <f t="shared" si="132"/>
        <v>2</v>
      </c>
      <c r="CC21" s="114">
        <v>91.0</v>
      </c>
      <c r="CD21" s="75">
        <f>IF(BX21="Squat",IF(CC21&gt;10,MROUND((CC21/100*SQMAX),2.5)," "),IF(BX21="Bench",IF(CC21&gt;10,MROUND((CC21/100*BNMAX),2.5)," "),IF(BX21="Deadlift",IF(CC21&gt;10,MROUND((CC21/100*DLMAX),2.5)," ")," ")))</f>
        <v>127.5</v>
      </c>
      <c r="CE21" s="26"/>
      <c r="CF21" s="66" t="str">
        <f>IFERROR((CD21/VLOOKUP(CE21,'RPE vs. %'!$D$3:$P$11,CB21+1,FALSE)),"")</f>
        <v/>
      </c>
      <c r="CG21" s="67"/>
      <c r="CH21" s="27"/>
      <c r="CI21" s="43" t="s">
        <v>33</v>
      </c>
      <c r="CJ21" s="43" t="s">
        <v>34</v>
      </c>
      <c r="CK21" s="43" t="s">
        <v>33</v>
      </c>
      <c r="CL21" s="43" t="s">
        <v>34</v>
      </c>
      <c r="CM21" s="43" t="s">
        <v>33</v>
      </c>
      <c r="CN21" s="43" t="s">
        <v>34</v>
      </c>
      <c r="CO21" s="43" t="s">
        <v>33</v>
      </c>
      <c r="CP21" s="43" t="s">
        <v>34</v>
      </c>
      <c r="CQ21" s="43" t="s">
        <v>33</v>
      </c>
      <c r="CR21" s="43" t="s">
        <v>34</v>
      </c>
      <c r="CS21" s="43" t="s">
        <v>33</v>
      </c>
      <c r="CT21" s="43" t="s">
        <v>34</v>
      </c>
      <c r="CU21" s="43" t="s">
        <v>33</v>
      </c>
      <c r="CV21" s="43" t="s">
        <v>34</v>
      </c>
      <c r="CW21" s="43" t="s">
        <v>33</v>
      </c>
      <c r="CX21" s="43" t="s">
        <v>34</v>
      </c>
      <c r="CY21" s="43" t="s">
        <v>33</v>
      </c>
      <c r="CZ21" s="43" t="s">
        <v>34</v>
      </c>
      <c r="DA21" s="43" t="s">
        <v>33</v>
      </c>
      <c r="DB21" s="43" t="s">
        <v>34</v>
      </c>
      <c r="DC21" s="43" t="s">
        <v>33</v>
      </c>
      <c r="DD21" s="43" t="s">
        <v>34</v>
      </c>
      <c r="DE21" s="43" t="s">
        <v>33</v>
      </c>
      <c r="DF21" s="43" t="s">
        <v>34</v>
      </c>
      <c r="DG21" s="27"/>
      <c r="DH21" s="69" t="str">
        <f t="shared" ref="DH21:DL21" si="133">DH12</f>
        <v>Bench</v>
      </c>
      <c r="DI21" s="70" t="str">
        <f t="shared" si="133"/>
        <v/>
      </c>
      <c r="DJ21" s="71" t="str">
        <f t="shared" si="133"/>
        <v>Bench</v>
      </c>
      <c r="DK21" s="72">
        <f t="shared" si="133"/>
        <v>3</v>
      </c>
      <c r="DL21" s="73">
        <f t="shared" si="133"/>
        <v>3</v>
      </c>
      <c r="DM21" s="115">
        <f t="shared" si="134"/>
        <v>85</v>
      </c>
      <c r="DN21" s="75">
        <f>IF(DH21="Squat",IF(DM21&gt;10,MROUND((DM21/100*SQMAX),2.5)," "),IF(DH21="Bench",IF(DM21&gt;10,MROUND((DM21/100*BNMAX),2.5)," "),IF(DH21="Deadlift",IF(DM21&gt;10,MROUND((DM21/100*DLMAX),2.5)," ")," ")))</f>
        <v>120</v>
      </c>
      <c r="DO21" s="26"/>
      <c r="DP21" s="66" t="str">
        <f>IFERROR((DN21/VLOOKUP(DO21,'RPE vs. %'!$D$3:$P$11,DL21+1,FALSE)),"")</f>
        <v/>
      </c>
      <c r="DQ21" s="67"/>
      <c r="DR21" s="27"/>
      <c r="DS21" s="27"/>
      <c r="DT21" s="43" t="s">
        <v>33</v>
      </c>
      <c r="DU21" s="43" t="s">
        <v>34</v>
      </c>
      <c r="DV21" s="43" t="s">
        <v>33</v>
      </c>
      <c r="DW21" s="43" t="s">
        <v>34</v>
      </c>
      <c r="DX21" s="43" t="s">
        <v>33</v>
      </c>
      <c r="DY21" s="43" t="s">
        <v>34</v>
      </c>
      <c r="DZ21" s="43" t="s">
        <v>33</v>
      </c>
      <c r="EA21" s="43" t="s">
        <v>34</v>
      </c>
      <c r="EB21" s="43" t="s">
        <v>33</v>
      </c>
      <c r="EC21" s="43" t="s">
        <v>34</v>
      </c>
      <c r="ED21" s="43" t="s">
        <v>33</v>
      </c>
      <c r="EE21" s="43" t="s">
        <v>34</v>
      </c>
      <c r="EF21" s="43" t="s">
        <v>33</v>
      </c>
      <c r="EG21" s="43" t="s">
        <v>34</v>
      </c>
      <c r="EH21" s="43" t="s">
        <v>33</v>
      </c>
      <c r="EI21" s="43" t="s">
        <v>34</v>
      </c>
      <c r="EJ21" s="43" t="s">
        <v>33</v>
      </c>
      <c r="EK21" s="43" t="s">
        <v>34</v>
      </c>
      <c r="EL21" s="43" t="s">
        <v>33</v>
      </c>
      <c r="EM21" s="43" t="s">
        <v>34</v>
      </c>
      <c r="EN21" s="43" t="s">
        <v>33</v>
      </c>
      <c r="EO21" s="43" t="s">
        <v>34</v>
      </c>
      <c r="EP21" s="43" t="s">
        <v>33</v>
      </c>
      <c r="EQ21" s="43" t="s">
        <v>34</v>
      </c>
      <c r="ER21" s="43" t="s">
        <v>33</v>
      </c>
      <c r="ES21" s="43" t="s">
        <v>34</v>
      </c>
      <c r="ET21" s="43" t="s">
        <v>33</v>
      </c>
      <c r="EU21" s="43" t="s">
        <v>34</v>
      </c>
      <c r="EV21" s="43" t="s">
        <v>33</v>
      </c>
      <c r="EW21" s="43" t="s">
        <v>34</v>
      </c>
      <c r="EX21" s="43" t="s">
        <v>33</v>
      </c>
      <c r="EY21" s="43" t="s">
        <v>34</v>
      </c>
      <c r="EZ21" s="43" t="s">
        <v>33</v>
      </c>
      <c r="FA21" s="43" t="s">
        <v>34</v>
      </c>
      <c r="FB21" s="43" t="s">
        <v>33</v>
      </c>
      <c r="FC21" s="43" t="s">
        <v>34</v>
      </c>
      <c r="FD21" s="43" t="s">
        <v>33</v>
      </c>
      <c r="FE21" s="43" t="s">
        <v>34</v>
      </c>
      <c r="FF21" s="43" t="s">
        <v>33</v>
      </c>
      <c r="FG21" s="43" t="s">
        <v>34</v>
      </c>
      <c r="FH21" s="43" t="s">
        <v>33</v>
      </c>
      <c r="FI21" s="43" t="s">
        <v>34</v>
      </c>
      <c r="FJ21" s="43" t="s">
        <v>33</v>
      </c>
      <c r="FK21" s="43" t="s">
        <v>34</v>
      </c>
      <c r="FL21" s="43" t="s">
        <v>33</v>
      </c>
      <c r="FM21" s="43" t="s">
        <v>34</v>
      </c>
      <c r="FN21" s="43" t="s">
        <v>33</v>
      </c>
      <c r="FO21" s="43" t="s">
        <v>34</v>
      </c>
    </row>
    <row r="22">
      <c r="A22" s="27"/>
      <c r="C22" s="46"/>
      <c r="D22" s="69" t="str">
        <f t="shared" ref="D22:H22" si="135">D13</f>
        <v>Bench</v>
      </c>
      <c r="E22" s="70" t="str">
        <f t="shared" si="135"/>
        <v/>
      </c>
      <c r="F22" s="71" t="str">
        <f t="shared" si="135"/>
        <v>Bench </v>
      </c>
      <c r="G22" s="72">
        <f t="shared" si="135"/>
        <v>3</v>
      </c>
      <c r="H22" s="73">
        <f t="shared" si="135"/>
        <v>8</v>
      </c>
      <c r="I22" s="74">
        <f t="shared" si="136"/>
        <v>73</v>
      </c>
      <c r="J22" s="75">
        <f>IF(D22="Squat",IF(I22&gt;10,MROUND((I22/100*SQMAX),2.5)," "),IF(D22="Bench",IF(I22&gt;10,MROUND((I22/100*BNMAX),2.5)," "),IF(D22="Deadlift",IF(I22&gt;10,MROUND((I22/100*DLMAX),2.5)," ")," ")))</f>
        <v>102.5</v>
      </c>
      <c r="K22" s="26"/>
      <c r="L22" s="66" t="str">
        <f>IFERROR((J22/VLOOKUP(K22,'RPE vs. %'!$D$3:$P$11,H22+1,FALSE)),"")</f>
        <v/>
      </c>
      <c r="M22" s="67"/>
      <c r="N22" s="27"/>
      <c r="O22" s="56">
        <f t="shared" ref="O22:O28" si="141">IF(D20="Squat",G20,"")</f>
        <v>2</v>
      </c>
      <c r="P22" s="56">
        <f t="shared" ref="P22:P28" si="142">IF(D20="Squat",G20*H20*J20,"")</f>
        <v>1400</v>
      </c>
      <c r="Q22" s="57" t="str">
        <f t="shared" ref="Q22:Q28" si="143">IF(D20="Bench",G20,"")</f>
        <v/>
      </c>
      <c r="R22" s="57" t="str">
        <f t="shared" ref="R22:R28" si="144">IF(D20="Bench",G20*H20*J20,"")</f>
        <v/>
      </c>
      <c r="S22" s="57" t="str">
        <f t="shared" ref="S22:S28" si="145">IF(D20="Deadlift",G20,"")</f>
        <v/>
      </c>
      <c r="T22" s="57" t="str">
        <f t="shared" ref="T22:T28" si="146">IF(D20="Deadlift",G20*H20*J20,"")</f>
        <v/>
      </c>
      <c r="U22" s="57" t="str">
        <f t="shared" ref="U22:U28" si="147">IF(E20="pecs",G20,"")</f>
        <v/>
      </c>
      <c r="V22" s="57" t="str">
        <f t="shared" ref="V22:V28" si="148">IF(E20="pecs",G20*H20*J20,"")</f>
        <v/>
      </c>
      <c r="W22" s="57" t="str">
        <f t="shared" ref="W22:W28" si="149">IF(E20="dos",G20,"")</f>
        <v/>
      </c>
      <c r="X22" s="57" t="str">
        <f t="shared" ref="X22:X28" si="150">IF(E20="dos",G20*H20*J20,"")</f>
        <v/>
      </c>
      <c r="Y22" s="57" t="str">
        <f t="shared" ref="Y22:Y28" si="151">IF(E20="épaules",G20,"")</f>
        <v/>
      </c>
      <c r="Z22" s="57" t="str">
        <f t="shared" ref="Z22:Z28" si="152">IF(E20="épaules",G20*H20*J20,"")</f>
        <v/>
      </c>
      <c r="AA22" s="57" t="str">
        <f t="shared" ref="AA22:AA28" si="153">IF(E20="biceps",G20,"")</f>
        <v/>
      </c>
      <c r="AB22" s="57" t="str">
        <f t="shared" ref="AB22:AB28" si="154">IF(E20="biceps",G20*H20*J20,"")</f>
        <v/>
      </c>
      <c r="AC22" s="57" t="str">
        <f t="shared" ref="AC22:AC28" si="155">IF(E20="triceps",G20,"")</f>
        <v/>
      </c>
      <c r="AD22" s="57" t="str">
        <f t="shared" ref="AD22:AD28" si="156">IF(E20="triceps",G20*H20*J20,"")</f>
        <v/>
      </c>
      <c r="AE22" s="57" t="str">
        <f t="shared" ref="AE22:AE28" si="157">IF(E20="quads",G20,"")</f>
        <v/>
      </c>
      <c r="AF22" s="57" t="str">
        <f t="shared" ref="AF22:AF28" si="158">IF(E20="quads",G20*H20*J20,"")</f>
        <v/>
      </c>
      <c r="AG22" s="57" t="str">
        <f t="shared" ref="AG22:AG28" si="159">IF(E20="ischios",G20,"")</f>
        <v/>
      </c>
      <c r="AH22" s="57" t="str">
        <f t="shared" ref="AH22:AH28" si="160">IF(E20="ischios",G20*H20*J20,"")</f>
        <v/>
      </c>
      <c r="AI22" s="57" t="str">
        <f t="shared" ref="AI22:AI28" si="161">IF(E20="fessier",G20,"")</f>
        <v/>
      </c>
      <c r="AJ22" s="57" t="str">
        <f t="shared" ref="AJ22:AJ28" si="162">IF(E20="fessier",G20*H20*J20,"")</f>
        <v/>
      </c>
      <c r="AK22" s="57" t="str">
        <f t="shared" ref="AK22:AK28" si="163">IF(E20="mollets",G20,"")</f>
        <v/>
      </c>
      <c r="AL22" s="57" t="str">
        <f t="shared" ref="AL22:AL28" si="164">IF(E20="mollets",G20*H20*J20,"")</f>
        <v/>
      </c>
      <c r="AM22" s="27"/>
      <c r="AN22" s="69" t="str">
        <f t="shared" ref="AN22:AR22" si="137">AN13</f>
        <v>Bench</v>
      </c>
      <c r="AO22" s="70" t="str">
        <f t="shared" si="137"/>
        <v/>
      </c>
      <c r="AP22" s="71" t="str">
        <f t="shared" si="137"/>
        <v>Bench larsen</v>
      </c>
      <c r="AQ22" s="72">
        <f t="shared" si="137"/>
        <v>3</v>
      </c>
      <c r="AR22" s="73">
        <f t="shared" si="137"/>
        <v>5</v>
      </c>
      <c r="AS22" s="114">
        <f t="shared" si="131"/>
        <v>67</v>
      </c>
      <c r="AT22" s="75">
        <f>IF(AN22="Squat",IF(AS22&gt;10,MROUND((AS22/100*SQMAX),2.5)," "),IF(AN22="Bench",IF(AS22&gt;10,MROUND((AS22/100*BNMAX),2.5)," "),IF(AN22="Deadlift",IF(AS22&gt;10,MROUND((AS22/100*DLMAX),2.5)," ")," ")))</f>
        <v>95</v>
      </c>
      <c r="AU22" s="26"/>
      <c r="AV22" s="66" t="str">
        <f>IFERROR((AT22/VLOOKUP(AU22,'RPE vs. %'!$D$3:$P$11,AR22+1,FALSE)),"")</f>
        <v/>
      </c>
      <c r="AW22" s="67"/>
      <c r="AX22" s="27"/>
      <c r="AY22" s="57" t="str">
        <f t="shared" ref="AY22:AY28" si="166">IF(AN20="Squat",AQ20,"")</f>
        <v/>
      </c>
      <c r="AZ22" s="57" t="str">
        <f t="shared" ref="AZ22:AZ28" si="167">IF(AN20="Squat",AQ20*AR20*AT20,"")</f>
        <v/>
      </c>
      <c r="BA22" s="57" t="str">
        <f t="shared" ref="BA22:BA28" si="168">IF(AN20="Bench",AQ20,"")</f>
        <v/>
      </c>
      <c r="BB22" s="57" t="str">
        <f t="shared" ref="BB22:BB28" si="169">IF(AN20="Bench",AQ20*AR20*AT20,"")</f>
        <v/>
      </c>
      <c r="BC22" s="56">
        <f t="shared" ref="BC22:BC28" si="170">IF(AN20="Deadlift",AQ20,"")</f>
        <v>3</v>
      </c>
      <c r="BD22" s="56">
        <f t="shared" ref="BD22:BD28" si="171">IF(AN20="Deadlift",AQ20*AR20*AT20,"")</f>
        <v>1867.5</v>
      </c>
      <c r="BE22" s="57" t="str">
        <f t="shared" ref="BE22:BE28" si="172">IF(AO20="pecs",AQ20,"")</f>
        <v/>
      </c>
      <c r="BF22" s="57" t="str">
        <f t="shared" ref="BF22:BF28" si="173">IF(AO20="pecs",AQ20*AR20*AT20,"")</f>
        <v/>
      </c>
      <c r="BG22" s="57" t="str">
        <f t="shared" ref="BG22:BG28" si="174">IF(AO20="dos",AQ20,"")</f>
        <v/>
      </c>
      <c r="BH22" s="57" t="str">
        <f t="shared" ref="BH22:BH28" si="175">IF(AO20="dos",AQ20*AR20*AT20,"")</f>
        <v/>
      </c>
      <c r="BI22" s="57" t="str">
        <f t="shared" ref="BI22:BI28" si="176">IF(AO20="épaules",AQ20,"")</f>
        <v/>
      </c>
      <c r="BJ22" s="57" t="str">
        <f t="shared" ref="BJ22:BJ28" si="177">IF(AO20="épaules",AQ20*AR20*AT20,"")</f>
        <v/>
      </c>
      <c r="BK22" s="57" t="str">
        <f t="shared" ref="BK22:BK28" si="178">IF(AO20="biceps",AQ20,"")</f>
        <v/>
      </c>
      <c r="BL22" s="57" t="str">
        <f t="shared" ref="BL22:BL28" si="179">IF(AO20="biceps",AQ20*AR20*AT20,"")</f>
        <v/>
      </c>
      <c r="BM22" s="57" t="str">
        <f t="shared" ref="BM22:BM28" si="180">IF(AO20="triceps",AQ20,"")</f>
        <v/>
      </c>
      <c r="BN22" s="57" t="str">
        <f t="shared" ref="BN22:BN28" si="181">IF(AO20="triceps",AQ20*AR20*AT20,"")</f>
        <v/>
      </c>
      <c r="BO22" s="57" t="str">
        <f t="shared" ref="BO22:BO28" si="182">IF(AO20="quads",AQ20,"")</f>
        <v/>
      </c>
      <c r="BP22" s="57" t="str">
        <f t="shared" ref="BP22:BP28" si="183">IF(AO20="quads",AQ20*AR20*AT20,"")</f>
        <v/>
      </c>
      <c r="BQ22" s="57" t="str">
        <f t="shared" ref="BQ22:BQ28" si="184">IF(AO20="ischios",AQ20,"")</f>
        <v/>
      </c>
      <c r="BR22" s="57" t="str">
        <f t="shared" ref="BR22:BR28" si="185">IF(AO20="ischios",AQ20*AR20*AT20,"")</f>
        <v/>
      </c>
      <c r="BS22" s="57" t="str">
        <f t="shared" ref="BS22:BS28" si="186">IF(AO20="fessier",AQ20,"")</f>
        <v/>
      </c>
      <c r="BT22" s="57" t="str">
        <f t="shared" ref="BT22:BT28" si="187">IF(AO20="fessier",AQ20*AR20*AT20,"")</f>
        <v/>
      </c>
      <c r="BU22" s="57" t="str">
        <f t="shared" ref="BU22:BU28" si="188">IF(AO20="mollets",AQ20,"")</f>
        <v/>
      </c>
      <c r="BV22" s="57" t="str">
        <f t="shared" ref="BV22:BV28" si="189">IF(AO20="mollets",AQ20*AR20*AT20,"")</f>
        <v/>
      </c>
      <c r="BW22" s="27"/>
      <c r="BX22" s="69" t="str">
        <f t="shared" ref="BX22:CB22" si="138">BX13</f>
        <v>Bench</v>
      </c>
      <c r="BY22" s="70" t="str">
        <f t="shared" si="138"/>
        <v/>
      </c>
      <c r="BZ22" s="71" t="str">
        <f t="shared" si="138"/>
        <v>Bench 2ct</v>
      </c>
      <c r="CA22" s="72">
        <f t="shared" si="138"/>
        <v>2</v>
      </c>
      <c r="CB22" s="73">
        <f t="shared" si="138"/>
        <v>3</v>
      </c>
      <c r="CC22" s="114">
        <f>CC13+3</f>
        <v>78</v>
      </c>
      <c r="CD22" s="75">
        <f>IF(BX22="Squat",IF(CC22&gt;10,MROUND((CC22/100*SQMAX),2.5)," "),IF(BX22="Bench",IF(CC22&gt;10,MROUND((CC22/100*BNMAX),2.5)," "),IF(BX22="Deadlift",IF(CC22&gt;10,MROUND((CC22/100*DLMAX),2.5)," ")," ")))</f>
        <v>110</v>
      </c>
      <c r="CE22" s="26"/>
      <c r="CF22" s="66" t="str">
        <f>IFERROR((CD22/VLOOKUP(CE22,'RPE vs. %'!$D$3:$P$11,CB22+1,FALSE)),"")</f>
        <v/>
      </c>
      <c r="CG22" s="67"/>
      <c r="CH22" s="27"/>
      <c r="CI22" s="56">
        <f t="shared" ref="CI22:CI28" si="191">IF(BX20="Squat",CA20,"")</f>
        <v>3</v>
      </c>
      <c r="CJ22" s="56">
        <f t="shared" ref="CJ22:CJ28" si="192">IF(BX20="Squat",CA20*CB20*CD20,"")</f>
        <v>2025</v>
      </c>
      <c r="CK22" s="57" t="str">
        <f t="shared" ref="CK22:CK28" si="193">IF(BX20="Bench",CA20,"")</f>
        <v/>
      </c>
      <c r="CL22" s="57" t="str">
        <f t="shared" ref="CL22:CL28" si="194">IF(BX20="Bench",CA20*CB20*CD20,"")</f>
        <v/>
      </c>
      <c r="CM22" s="57" t="str">
        <f t="shared" ref="CM22:CM28" si="195">IF(BX20="Deadlift",CA20,"")</f>
        <v/>
      </c>
      <c r="CN22" s="57" t="str">
        <f t="shared" ref="CN22:CN28" si="196">IF(BX20="Deadlift",CA20*CB20*CD20,"")</f>
        <v/>
      </c>
      <c r="CO22" s="57" t="str">
        <f t="shared" ref="CO22:CO28" si="197">IF(BY20="pecs",CA20,"")</f>
        <v/>
      </c>
      <c r="CP22" s="57" t="str">
        <f t="shared" ref="CP22:CP28" si="198">IF(BY20="pecs",CA20*CB20*CD20,"")</f>
        <v/>
      </c>
      <c r="CQ22" s="57" t="str">
        <f t="shared" ref="CQ22:CQ28" si="199">IF(BY20="dos",CA20,"")</f>
        <v/>
      </c>
      <c r="CR22" s="57" t="str">
        <f t="shared" ref="CR22:CR28" si="200">IF(BY20="dos",CA20*CB20*CD20,"")</f>
        <v/>
      </c>
      <c r="CS22" s="57" t="str">
        <f t="shared" ref="CS22:CS28" si="201">IF(BY20="épaules",CA20,"")</f>
        <v/>
      </c>
      <c r="CT22" s="57" t="str">
        <f t="shared" ref="CT22:CT28" si="202">IF(BY20="épaules",CA20*CB20*CD20,"")</f>
        <v/>
      </c>
      <c r="CU22" s="57" t="str">
        <f t="shared" ref="CU22:CU28" si="203">IF(BY20="biceps",CA20,"")</f>
        <v/>
      </c>
      <c r="CV22" s="57" t="str">
        <f t="shared" ref="CV22:CV28" si="204">IF(BY20="biceps",CA20*CB20*CD20,"")</f>
        <v/>
      </c>
      <c r="CW22" s="57" t="str">
        <f t="shared" ref="CW22:CW28" si="205">IF(BY20="triceps",CA20,"")</f>
        <v/>
      </c>
      <c r="CX22" s="57" t="str">
        <f t="shared" ref="CX22:CX28" si="206">IF(BY20="triceps",CA20*CB20*CD20,"")</f>
        <v/>
      </c>
      <c r="CY22" s="57" t="str">
        <f t="shared" ref="CY22:CY28" si="207">IF(BY20="quads",CA20,"")</f>
        <v/>
      </c>
      <c r="CZ22" s="57" t="str">
        <f t="shared" ref="CZ22:CZ28" si="208">IF(BY20="quads",CA20*CB20*CD20,"")</f>
        <v/>
      </c>
      <c r="DA22" s="57" t="str">
        <f t="shared" ref="DA22:DA28" si="209">IF(BY20="ischios",CA20,"")</f>
        <v/>
      </c>
      <c r="DB22" s="57" t="str">
        <f t="shared" ref="DB22:DB28" si="210">IF(BY20="ischios",CA20*CB20*CD20,"")</f>
        <v/>
      </c>
      <c r="DC22" s="57" t="str">
        <f t="shared" ref="DC22:DC28" si="211">IF(BY20="fessier",CA20,"")</f>
        <v/>
      </c>
      <c r="DD22" s="57" t="str">
        <f t="shared" ref="DD22:DD28" si="212">IF(BY20="fessier",CA20*CB20*CD20,"")</f>
        <v/>
      </c>
      <c r="DE22" s="57" t="str">
        <f t="shared" ref="DE22:DE28" si="213">IF(BY20="mollets",CA20,"")</f>
        <v/>
      </c>
      <c r="DF22" s="57" t="str">
        <f t="shared" ref="DF22:DF28" si="214">IF(BY20="mollets",CA20*CB20*CD20,"")</f>
        <v/>
      </c>
      <c r="DG22" s="27"/>
      <c r="DH22" s="58" t="str">
        <f t="shared" ref="DH22:DL22" si="139">DH13</f>
        <v>Deadlift</v>
      </c>
      <c r="DI22" s="59" t="str">
        <f t="shared" si="139"/>
        <v/>
      </c>
      <c r="DJ22" s="60" t="str">
        <f t="shared" si="139"/>
        <v>Deadlift</v>
      </c>
      <c r="DK22" s="61">
        <f t="shared" si="139"/>
        <v>3</v>
      </c>
      <c r="DL22" s="62">
        <f t="shared" si="139"/>
        <v>3</v>
      </c>
      <c r="DM22" s="116">
        <f t="shared" si="134"/>
        <v>85</v>
      </c>
      <c r="DN22" s="32">
        <f>IF(DH22="Squat",IF(DM22&gt;10,MROUND((DM22/100*SQMAX),2.5)," "),IF(DH22="Bench",IF(DM22&gt;10,MROUND((DM22/100*BNMAX),2.5)," "),IF(DH22="Deadlift",IF(DM22&gt;10,MROUND((DM22/100*DLMAX),2.5)," ")," ")))</f>
        <v>212.5</v>
      </c>
      <c r="DO22" s="26"/>
      <c r="DP22" s="66" t="str">
        <f>IFERROR((DN22/VLOOKUP(DO22,'RPE vs. %'!$D$3:$P$11,DL22+1,FALSE)),"")</f>
        <v/>
      </c>
      <c r="DQ22" s="67"/>
      <c r="DR22" s="27"/>
      <c r="DS22" s="27"/>
      <c r="DT22" s="56">
        <f t="shared" ref="DT22:DT28" si="216">IF(DH20="Squat",DK20,"")</f>
        <v>3</v>
      </c>
      <c r="DU22" s="56">
        <f t="shared" ref="DU22:DU28" si="217">IF(DH20="Squat",DK20*DL20*DN20,"")</f>
        <v>1530</v>
      </c>
      <c r="DV22" s="57" t="str">
        <f t="shared" ref="DV22:DV28" si="218">IF(DH20="Bench",DK20,"")</f>
        <v/>
      </c>
      <c r="DW22" s="57" t="str">
        <f t="shared" ref="DW22:DW28" si="219">IF(DH20="Bench",DK20*DL20*DN20,"")</f>
        <v/>
      </c>
      <c r="DX22" s="57" t="str">
        <f t="shared" ref="DX22:DX28" si="220">IF(DH20="Deadlift",DK20,"")</f>
        <v/>
      </c>
      <c r="DY22" s="57" t="str">
        <f t="shared" ref="DY22:DY28" si="221">IF(DH20="Deadlift",DK20*DL20*DN20,"")</f>
        <v/>
      </c>
      <c r="DZ22" s="57" t="str">
        <f t="shared" ref="DZ22:DZ28" si="222">IF(DI20="pecs",DK20,"")</f>
        <v/>
      </c>
      <c r="EA22" s="57" t="str">
        <f t="shared" ref="EA22:EA28" si="223">IF(DI20="pecs",DK20*DL20*DN20,"")</f>
        <v/>
      </c>
      <c r="EB22" s="57" t="str">
        <f t="shared" ref="EB22:EB28" si="224">IF(DI20="dos",DK20,"")</f>
        <v/>
      </c>
      <c r="EC22" s="57" t="str">
        <f t="shared" ref="EC22:EC28" si="225">IF(DI20="dos",DK20*DL20*DN20,"")</f>
        <v/>
      </c>
      <c r="ED22" s="57" t="str">
        <f t="shared" ref="ED22:ED28" si="226">IF(DI20="épaules",DK20,"")</f>
        <v/>
      </c>
      <c r="EE22" s="57" t="str">
        <f t="shared" ref="EE22:EE28" si="227">IF(DI20="épaules",DK20*DL20*DN20,"")</f>
        <v/>
      </c>
      <c r="EF22" s="57" t="str">
        <f t="shared" ref="EF22:EF28" si="228">IF(DI20="biceps",DK20,"")</f>
        <v/>
      </c>
      <c r="EG22" s="57" t="str">
        <f t="shared" ref="EG22:EG28" si="229">IF(DI20="biceps",DK20*DL20*DN20,"")</f>
        <v/>
      </c>
      <c r="EH22" s="57" t="str">
        <f t="shared" ref="EH22:EH28" si="230">IF(DI20="triceps",DK20,"")</f>
        <v/>
      </c>
      <c r="EI22" s="57" t="str">
        <f t="shared" ref="EI22:EI28" si="231">IF(DI20="triceps",DK20*DL20*DN20,"")</f>
        <v/>
      </c>
      <c r="EJ22" s="57" t="str">
        <f t="shared" ref="EJ22:EJ28" si="232">IF(DI20="quads",DK20,"")</f>
        <v/>
      </c>
      <c r="EK22" s="57" t="str">
        <f t="shared" ref="EK22:EK28" si="233">IF(DI20="quads",DK20*DL20*DN20,"")</f>
        <v/>
      </c>
      <c r="EL22" s="57" t="str">
        <f t="shared" ref="EL22:EL28" si="234">IF(DI20="ischios",DK20,"")</f>
        <v/>
      </c>
      <c r="EM22" s="57" t="str">
        <f t="shared" ref="EM22:EM28" si="235">IF(DI20="ischios",DK20*DL20*DN20,"")</f>
        <v/>
      </c>
      <c r="EN22" s="57" t="str">
        <f t="shared" ref="EN22:EN28" si="236">IF(DI20="fessier",DK20,"")</f>
        <v/>
      </c>
      <c r="EO22" s="57" t="str">
        <f t="shared" ref="EO22:EO28" si="237">IF(DI20="fessier",DK20*DL20*DN20,"")</f>
        <v/>
      </c>
      <c r="EP22" s="57" t="str">
        <f t="shared" ref="EP22:EP28" si="238">IF(DI20="mollets",DK20,"")</f>
        <v/>
      </c>
      <c r="EQ22" s="57" t="str">
        <f t="shared" ref="EQ22:EQ28" si="239">IF(DI20="mollets",DK20*DL20*DN20,"")</f>
        <v/>
      </c>
      <c r="ER22" s="56" t="str">
        <f t="shared" ref="ER22:ER28" si="240">IF(#REF!="Squat",#REF!,"")</f>
        <v>#REF!</v>
      </c>
      <c r="ES22" s="56" t="str">
        <f t="shared" ref="ES22:ES28" si="241">IF(#REF!="Squat",#REF!*#REF!*#REF!,"")</f>
        <v>#REF!</v>
      </c>
      <c r="ET22" s="56" t="str">
        <f t="shared" ref="ET22:ET28" si="242">IF(#REF!="Bench",#REF!,"")</f>
        <v>#REF!</v>
      </c>
      <c r="EU22" s="56" t="str">
        <f t="shared" ref="EU22:EU28" si="243">IF(#REF!="Bench",#REF!*#REF!*#REF!,"")</f>
        <v>#REF!</v>
      </c>
      <c r="EV22" s="56" t="str">
        <f t="shared" ref="EV22:EV28" si="244">IF(#REF!="Deadlift",#REF!,"")</f>
        <v>#REF!</v>
      </c>
      <c r="EW22" s="56" t="str">
        <f t="shared" ref="EW22:EW28" si="245">IF(#REF!="Deadlift",#REF!*#REF!*#REF!,"")</f>
        <v>#REF!</v>
      </c>
      <c r="EX22" s="56" t="str">
        <f t="shared" ref="EX22:EX28" si="246">IF(#REF!="pecs",#REF!,"")</f>
        <v>#REF!</v>
      </c>
      <c r="EY22" s="56" t="str">
        <f t="shared" ref="EY22:EY28" si="247">IF(#REF!="pecs",#REF!*#REF!*#REF!,"")</f>
        <v>#REF!</v>
      </c>
      <c r="EZ22" s="56" t="str">
        <f t="shared" ref="EZ22:EZ28" si="248">IF(#REF!="dos",#REF!,"")</f>
        <v>#REF!</v>
      </c>
      <c r="FA22" s="56" t="str">
        <f t="shared" ref="FA22:FA28" si="249">IF(#REF!="dos",#REF!*#REF!*#REF!,"")</f>
        <v>#REF!</v>
      </c>
      <c r="FB22" s="56" t="str">
        <f t="shared" ref="FB22:FB28" si="250">IF(#REF!="épaules",#REF!,"")</f>
        <v>#REF!</v>
      </c>
      <c r="FC22" s="56" t="str">
        <f t="shared" ref="FC22:FC28" si="251">IF(#REF!="épaules",#REF!*#REF!*#REF!,"")</f>
        <v>#REF!</v>
      </c>
      <c r="FD22" s="56" t="str">
        <f t="shared" ref="FD22:FD28" si="252">IF(#REF!="biceps",#REF!,"")</f>
        <v>#REF!</v>
      </c>
      <c r="FE22" s="56" t="str">
        <f t="shared" ref="FE22:FE28" si="253">IF(#REF!="biceps",#REF!*#REF!*#REF!,"")</f>
        <v>#REF!</v>
      </c>
      <c r="FF22" s="56" t="str">
        <f t="shared" ref="FF22:FF28" si="254">IF(#REF!="triceps",#REF!,"")</f>
        <v>#REF!</v>
      </c>
      <c r="FG22" s="56" t="str">
        <f t="shared" ref="FG22:FG28" si="255">IF(#REF!="triceps",#REF!*#REF!*#REF!,"")</f>
        <v>#REF!</v>
      </c>
      <c r="FH22" s="56" t="str">
        <f t="shared" ref="FH22:FH28" si="256">IF(#REF!="quads",#REF!,"")</f>
        <v>#REF!</v>
      </c>
      <c r="FI22" s="56" t="str">
        <f t="shared" ref="FI22:FI28" si="257">IF(#REF!="quads",#REF!*#REF!*#REF!,"")</f>
        <v>#REF!</v>
      </c>
      <c r="FJ22" s="56" t="str">
        <f t="shared" ref="FJ22:FJ28" si="258">IF(#REF!="ischios",#REF!,"")</f>
        <v>#REF!</v>
      </c>
      <c r="FK22" s="56" t="str">
        <f t="shared" ref="FK22:FK28" si="259">IF(#REF!="ischios",#REF!*#REF!*#REF!,"")</f>
        <v>#REF!</v>
      </c>
      <c r="FL22" s="56" t="str">
        <f t="shared" ref="FL22:FL28" si="260">IF(#REF!="fessier",#REF!,"")</f>
        <v>#REF!</v>
      </c>
      <c r="FM22" s="56" t="str">
        <f t="shared" ref="FM22:FM28" si="261">IF(#REF!="fessier",#REF!*#REF!*#REF!,"")</f>
        <v>#REF!</v>
      </c>
      <c r="FN22" s="56" t="str">
        <f t="shared" ref="FN22:FN28" si="262">IF(#REF!="mollets",#REF!,"")</f>
        <v>#REF!</v>
      </c>
      <c r="FO22" s="56" t="str">
        <f t="shared" ref="FO22:FO28" si="263">IF(#REF!="mollets",#REF!*#REF!*#REF!,"")</f>
        <v>#REF!</v>
      </c>
    </row>
    <row r="23">
      <c r="A23" s="27"/>
      <c r="C23" s="46"/>
      <c r="D23" s="78" t="str">
        <f t="shared" ref="D23:I23" si="140">D14</f>
        <v>Renfo</v>
      </c>
      <c r="E23" s="79" t="str">
        <f t="shared" si="140"/>
        <v/>
      </c>
      <c r="F23" s="80" t="str">
        <f t="shared" si="140"/>
        <v>Hack squat</v>
      </c>
      <c r="G23" s="81">
        <f t="shared" si="140"/>
        <v>2</v>
      </c>
      <c r="H23" s="82">
        <f t="shared" si="140"/>
        <v>45938</v>
      </c>
      <c r="I23" s="1" t="str">
        <f t="shared" si="140"/>
        <v/>
      </c>
      <c r="J23" s="83">
        <v>120.0</v>
      </c>
      <c r="K23" s="26"/>
      <c r="L23" s="66" t="str">
        <f>IFERROR((J23/VLOOKUP(K23,'RPE vs. %'!$D$3:$P$11,H23+1,FALSE)),"")</f>
        <v/>
      </c>
      <c r="M23" s="67"/>
      <c r="N23" s="27"/>
      <c r="O23" s="56">
        <f t="shared" si="141"/>
        <v>1</v>
      </c>
      <c r="P23" s="56">
        <f t="shared" si="142"/>
        <v>750</v>
      </c>
      <c r="Q23" s="57" t="str">
        <f t="shared" si="143"/>
        <v/>
      </c>
      <c r="R23" s="57" t="str">
        <f t="shared" si="144"/>
        <v/>
      </c>
      <c r="S23" s="57" t="str">
        <f t="shared" si="145"/>
        <v/>
      </c>
      <c r="T23" s="57" t="str">
        <f t="shared" si="146"/>
        <v/>
      </c>
      <c r="U23" s="57" t="str">
        <f t="shared" si="147"/>
        <v/>
      </c>
      <c r="V23" s="57" t="str">
        <f t="shared" si="148"/>
        <v/>
      </c>
      <c r="W23" s="57" t="str">
        <f t="shared" si="149"/>
        <v/>
      </c>
      <c r="X23" s="57" t="str">
        <f t="shared" si="150"/>
        <v/>
      </c>
      <c r="Y23" s="57" t="str">
        <f t="shared" si="151"/>
        <v/>
      </c>
      <c r="Z23" s="57" t="str">
        <f t="shared" si="152"/>
        <v/>
      </c>
      <c r="AA23" s="57" t="str">
        <f t="shared" si="153"/>
        <v/>
      </c>
      <c r="AB23" s="57" t="str">
        <f t="shared" si="154"/>
        <v/>
      </c>
      <c r="AC23" s="57" t="str">
        <f t="shared" si="155"/>
        <v/>
      </c>
      <c r="AD23" s="57" t="str">
        <f t="shared" si="156"/>
        <v/>
      </c>
      <c r="AE23" s="57" t="str">
        <f t="shared" si="157"/>
        <v/>
      </c>
      <c r="AF23" s="57" t="str">
        <f t="shared" si="158"/>
        <v/>
      </c>
      <c r="AG23" s="57" t="str">
        <f t="shared" si="159"/>
        <v/>
      </c>
      <c r="AH23" s="57" t="str">
        <f t="shared" si="160"/>
        <v/>
      </c>
      <c r="AI23" s="57" t="str">
        <f t="shared" si="161"/>
        <v/>
      </c>
      <c r="AJ23" s="57" t="str">
        <f t="shared" si="162"/>
        <v/>
      </c>
      <c r="AK23" s="57" t="str">
        <f t="shared" si="163"/>
        <v/>
      </c>
      <c r="AL23" s="57" t="str">
        <f t="shared" si="164"/>
        <v/>
      </c>
      <c r="AM23" s="27"/>
      <c r="AN23" s="78" t="str">
        <f t="shared" ref="AN23:AS23" si="165">AN14</f>
        <v>Renfo</v>
      </c>
      <c r="AO23" s="79" t="str">
        <f t="shared" si="165"/>
        <v/>
      </c>
      <c r="AP23" s="80" t="str">
        <f t="shared" si="165"/>
        <v>Rdl uni</v>
      </c>
      <c r="AQ23" s="81">
        <f t="shared" si="165"/>
        <v>3</v>
      </c>
      <c r="AR23" s="85">
        <f t="shared" si="165"/>
        <v>8</v>
      </c>
      <c r="AS23" s="117" t="str">
        <f t="shared" si="165"/>
        <v/>
      </c>
      <c r="AT23" s="34" t="str">
        <f>IF(AN23="Squat",IF(AS23&gt;10,MROUND((AS23/100*SQMAX),2.5)," "),IF(AN23="Bench",IF(AS23&gt;10,MROUND((AS23/100*BNMAX),2.5)," "),IF(AN23="Deadlift",IF(AS23&gt;10,MROUND((AS23/100*DLMAX),2.5)," ")," ")))</f>
        <v> </v>
      </c>
      <c r="AU23" s="26"/>
      <c r="AV23" s="66" t="str">
        <f>IFERROR((AT23/VLOOKUP(AU23,'RPE vs. %'!$D$3:$P$11,AR23+1,FALSE)),"")</f>
        <v/>
      </c>
      <c r="AW23" s="67"/>
      <c r="AX23" s="27"/>
      <c r="AY23" s="57" t="str">
        <f t="shared" si="166"/>
        <v/>
      </c>
      <c r="AZ23" s="57" t="str">
        <f t="shared" si="167"/>
        <v/>
      </c>
      <c r="BA23" s="57" t="str">
        <f t="shared" si="168"/>
        <v/>
      </c>
      <c r="BB23" s="57" t="str">
        <f t="shared" si="169"/>
        <v/>
      </c>
      <c r="BC23" s="56">
        <f t="shared" si="170"/>
        <v>2</v>
      </c>
      <c r="BD23" s="56">
        <f t="shared" si="171"/>
        <v>1575</v>
      </c>
      <c r="BE23" s="57" t="str">
        <f t="shared" si="172"/>
        <v/>
      </c>
      <c r="BF23" s="57" t="str">
        <f t="shared" si="173"/>
        <v/>
      </c>
      <c r="BG23" s="57" t="str">
        <f t="shared" si="174"/>
        <v/>
      </c>
      <c r="BH23" s="57" t="str">
        <f t="shared" si="175"/>
        <v/>
      </c>
      <c r="BI23" s="57" t="str">
        <f t="shared" si="176"/>
        <v/>
      </c>
      <c r="BJ23" s="57" t="str">
        <f t="shared" si="177"/>
        <v/>
      </c>
      <c r="BK23" s="57" t="str">
        <f t="shared" si="178"/>
        <v/>
      </c>
      <c r="BL23" s="57" t="str">
        <f t="shared" si="179"/>
        <v/>
      </c>
      <c r="BM23" s="57" t="str">
        <f t="shared" si="180"/>
        <v/>
      </c>
      <c r="BN23" s="57" t="str">
        <f t="shared" si="181"/>
        <v/>
      </c>
      <c r="BO23" s="57" t="str">
        <f t="shared" si="182"/>
        <v/>
      </c>
      <c r="BP23" s="57" t="str">
        <f t="shared" si="183"/>
        <v/>
      </c>
      <c r="BQ23" s="57" t="str">
        <f t="shared" si="184"/>
        <v/>
      </c>
      <c r="BR23" s="57" t="str">
        <f t="shared" si="185"/>
        <v/>
      </c>
      <c r="BS23" s="57" t="str">
        <f t="shared" si="186"/>
        <v/>
      </c>
      <c r="BT23" s="57" t="str">
        <f t="shared" si="187"/>
        <v/>
      </c>
      <c r="BU23" s="57" t="str">
        <f t="shared" si="188"/>
        <v/>
      </c>
      <c r="BV23" s="57" t="str">
        <f t="shared" si="189"/>
        <v/>
      </c>
      <c r="BW23" s="27"/>
      <c r="BX23" s="78" t="str">
        <f t="shared" ref="BX23:CC23" si="190">BX14</f>
        <v>Renfo</v>
      </c>
      <c r="BY23" s="79" t="str">
        <f t="shared" si="190"/>
        <v/>
      </c>
      <c r="BZ23" s="80" t="str">
        <f t="shared" si="190"/>
        <v>chest press</v>
      </c>
      <c r="CA23" s="81">
        <f t="shared" si="190"/>
        <v>3</v>
      </c>
      <c r="CB23" s="85">
        <f t="shared" si="190"/>
        <v>12</v>
      </c>
      <c r="CC23" s="117" t="str">
        <f t="shared" si="190"/>
        <v/>
      </c>
      <c r="CD23" s="34" t="str">
        <f>IF(BX23="Squat",IF(CC23&gt;10,MROUND((CC23/100*SQMAX),2.5)," "),IF(BX23="Bench",IF(CC23&gt;10,MROUND((CC23/100*BNMAX),2.5)," "),IF(BX23="Deadlift",IF(CC23&gt;10,MROUND((CC23/100*DLMAX),2.5)," ")," ")))</f>
        <v> </v>
      </c>
      <c r="CE23" s="26"/>
      <c r="CF23" s="66" t="str">
        <f>IFERROR((CD23/VLOOKUP(CE23,'RPE vs. %'!$D$3:$P$11,CB23+1,FALSE)),"")</f>
        <v/>
      </c>
      <c r="CG23" s="67"/>
      <c r="CH23" s="27"/>
      <c r="CI23" s="57" t="str">
        <f t="shared" si="191"/>
        <v/>
      </c>
      <c r="CJ23" s="57" t="str">
        <f t="shared" si="192"/>
        <v/>
      </c>
      <c r="CK23" s="56">
        <f t="shared" si="193"/>
        <v>4</v>
      </c>
      <c r="CL23" s="56">
        <f t="shared" si="194"/>
        <v>1020</v>
      </c>
      <c r="CM23" s="57" t="str">
        <f t="shared" si="195"/>
        <v/>
      </c>
      <c r="CN23" s="57" t="str">
        <f t="shared" si="196"/>
        <v/>
      </c>
      <c r="CO23" s="57" t="str">
        <f t="shared" si="197"/>
        <v/>
      </c>
      <c r="CP23" s="57" t="str">
        <f t="shared" si="198"/>
        <v/>
      </c>
      <c r="CQ23" s="57" t="str">
        <f t="shared" si="199"/>
        <v/>
      </c>
      <c r="CR23" s="57" t="str">
        <f t="shared" si="200"/>
        <v/>
      </c>
      <c r="CS23" s="57" t="str">
        <f t="shared" si="201"/>
        <v/>
      </c>
      <c r="CT23" s="57" t="str">
        <f t="shared" si="202"/>
        <v/>
      </c>
      <c r="CU23" s="57" t="str">
        <f t="shared" si="203"/>
        <v/>
      </c>
      <c r="CV23" s="57" t="str">
        <f t="shared" si="204"/>
        <v/>
      </c>
      <c r="CW23" s="57" t="str">
        <f t="shared" si="205"/>
        <v/>
      </c>
      <c r="CX23" s="57" t="str">
        <f t="shared" si="206"/>
        <v/>
      </c>
      <c r="CY23" s="57" t="str">
        <f t="shared" si="207"/>
        <v/>
      </c>
      <c r="CZ23" s="57" t="str">
        <f t="shared" si="208"/>
        <v/>
      </c>
      <c r="DA23" s="57" t="str">
        <f t="shared" si="209"/>
        <v/>
      </c>
      <c r="DB23" s="57" t="str">
        <f t="shared" si="210"/>
        <v/>
      </c>
      <c r="DC23" s="57" t="str">
        <f t="shared" si="211"/>
        <v/>
      </c>
      <c r="DD23" s="57" t="str">
        <f t="shared" si="212"/>
        <v/>
      </c>
      <c r="DE23" s="57" t="str">
        <f t="shared" si="213"/>
        <v/>
      </c>
      <c r="DF23" s="57" t="str">
        <f t="shared" si="214"/>
        <v/>
      </c>
      <c r="DG23" s="27"/>
      <c r="DH23" s="118" t="s">
        <v>43</v>
      </c>
      <c r="DI23" s="79" t="str">
        <f t="shared" ref="DI23:DM23" si="215">DI14</f>
        <v/>
      </c>
      <c r="DJ23" s="80" t="str">
        <f t="shared" si="215"/>
        <v>Back extension</v>
      </c>
      <c r="DK23" s="81">
        <f t="shared" si="215"/>
        <v>5</v>
      </c>
      <c r="DL23" s="85">
        <f t="shared" si="215"/>
        <v>12</v>
      </c>
      <c r="DM23" s="119" t="str">
        <f t="shared" si="215"/>
        <v/>
      </c>
      <c r="DN23" s="34" t="str">
        <f>IF(DH23="Squat",IF(DM23&gt;10,MROUND((DM23/100*SQMAX),2.5)," "),IF(DH23="Bench",IF(DM23&gt;10,MROUND((DM23/100*BNMAX),2.5)," "),IF(DH23="Deadlift",IF(DM23&gt;10,MROUND((DM23/100*DLMAX),2.5)," ")," ")))</f>
        <v> </v>
      </c>
      <c r="DO23" s="26"/>
      <c r="DP23" s="66" t="str">
        <f>IFERROR((DN23/VLOOKUP(DO23,'RPE vs. %'!$D$3:$P$11,DL23+1,FALSE)),"")</f>
        <v/>
      </c>
      <c r="DQ23" s="67"/>
      <c r="DR23" s="27"/>
      <c r="DS23" s="27"/>
      <c r="DT23" s="57" t="str">
        <f t="shared" si="216"/>
        <v/>
      </c>
      <c r="DU23" s="57" t="str">
        <f t="shared" si="217"/>
        <v/>
      </c>
      <c r="DV23" s="56">
        <f t="shared" si="218"/>
        <v>3</v>
      </c>
      <c r="DW23" s="56">
        <f t="shared" si="219"/>
        <v>1080</v>
      </c>
      <c r="DX23" s="57" t="str">
        <f t="shared" si="220"/>
        <v/>
      </c>
      <c r="DY23" s="57" t="str">
        <f t="shared" si="221"/>
        <v/>
      </c>
      <c r="DZ23" s="57" t="str">
        <f t="shared" si="222"/>
        <v/>
      </c>
      <c r="EA23" s="57" t="str">
        <f t="shared" si="223"/>
        <v/>
      </c>
      <c r="EB23" s="57" t="str">
        <f t="shared" si="224"/>
        <v/>
      </c>
      <c r="EC23" s="57" t="str">
        <f t="shared" si="225"/>
        <v/>
      </c>
      <c r="ED23" s="57" t="str">
        <f t="shared" si="226"/>
        <v/>
      </c>
      <c r="EE23" s="57" t="str">
        <f t="shared" si="227"/>
        <v/>
      </c>
      <c r="EF23" s="57" t="str">
        <f t="shared" si="228"/>
        <v/>
      </c>
      <c r="EG23" s="57" t="str">
        <f t="shared" si="229"/>
        <v/>
      </c>
      <c r="EH23" s="57" t="str">
        <f t="shared" si="230"/>
        <v/>
      </c>
      <c r="EI23" s="57" t="str">
        <f t="shared" si="231"/>
        <v/>
      </c>
      <c r="EJ23" s="57" t="str">
        <f t="shared" si="232"/>
        <v/>
      </c>
      <c r="EK23" s="57" t="str">
        <f t="shared" si="233"/>
        <v/>
      </c>
      <c r="EL23" s="57" t="str">
        <f t="shared" si="234"/>
        <v/>
      </c>
      <c r="EM23" s="57" t="str">
        <f t="shared" si="235"/>
        <v/>
      </c>
      <c r="EN23" s="57" t="str">
        <f t="shared" si="236"/>
        <v/>
      </c>
      <c r="EO23" s="57" t="str">
        <f t="shared" si="237"/>
        <v/>
      </c>
      <c r="EP23" s="57" t="str">
        <f t="shared" si="238"/>
        <v/>
      </c>
      <c r="EQ23" s="57" t="str">
        <f t="shared" si="239"/>
        <v/>
      </c>
      <c r="ER23" s="56" t="str">
        <f t="shared" si="240"/>
        <v>#REF!</v>
      </c>
      <c r="ES23" s="56" t="str">
        <f t="shared" si="241"/>
        <v>#REF!</v>
      </c>
      <c r="ET23" s="56" t="str">
        <f t="shared" si="242"/>
        <v>#REF!</v>
      </c>
      <c r="EU23" s="56" t="str">
        <f t="shared" si="243"/>
        <v>#REF!</v>
      </c>
      <c r="EV23" s="56" t="str">
        <f t="shared" si="244"/>
        <v>#REF!</v>
      </c>
      <c r="EW23" s="56" t="str">
        <f t="shared" si="245"/>
        <v>#REF!</v>
      </c>
      <c r="EX23" s="56" t="str">
        <f t="shared" si="246"/>
        <v>#REF!</v>
      </c>
      <c r="EY23" s="56" t="str">
        <f t="shared" si="247"/>
        <v>#REF!</v>
      </c>
      <c r="EZ23" s="56" t="str">
        <f t="shared" si="248"/>
        <v>#REF!</v>
      </c>
      <c r="FA23" s="56" t="str">
        <f t="shared" si="249"/>
        <v>#REF!</v>
      </c>
      <c r="FB23" s="56" t="str">
        <f t="shared" si="250"/>
        <v>#REF!</v>
      </c>
      <c r="FC23" s="56" t="str">
        <f t="shared" si="251"/>
        <v>#REF!</v>
      </c>
      <c r="FD23" s="56" t="str">
        <f t="shared" si="252"/>
        <v>#REF!</v>
      </c>
      <c r="FE23" s="56" t="str">
        <f t="shared" si="253"/>
        <v>#REF!</v>
      </c>
      <c r="FF23" s="56" t="str">
        <f t="shared" si="254"/>
        <v>#REF!</v>
      </c>
      <c r="FG23" s="56" t="str">
        <f t="shared" si="255"/>
        <v>#REF!</v>
      </c>
      <c r="FH23" s="56" t="str">
        <f t="shared" si="256"/>
        <v>#REF!</v>
      </c>
      <c r="FI23" s="56" t="str">
        <f t="shared" si="257"/>
        <v>#REF!</v>
      </c>
      <c r="FJ23" s="56" t="str">
        <f t="shared" si="258"/>
        <v>#REF!</v>
      </c>
      <c r="FK23" s="56" t="str">
        <f t="shared" si="259"/>
        <v>#REF!</v>
      </c>
      <c r="FL23" s="56" t="str">
        <f t="shared" si="260"/>
        <v>#REF!</v>
      </c>
      <c r="FM23" s="56" t="str">
        <f t="shared" si="261"/>
        <v>#REF!</v>
      </c>
      <c r="FN23" s="56" t="str">
        <f t="shared" si="262"/>
        <v>#REF!</v>
      </c>
      <c r="FO23" s="56" t="str">
        <f t="shared" si="263"/>
        <v>#REF!</v>
      </c>
    </row>
    <row r="24">
      <c r="A24" s="27"/>
      <c r="C24" s="46"/>
      <c r="D24" s="78" t="str">
        <f t="shared" ref="D24:I24" si="264">D15</f>
        <v>Renfo</v>
      </c>
      <c r="E24" s="79" t="str">
        <f t="shared" si="264"/>
        <v/>
      </c>
      <c r="F24" s="80" t="str">
        <f t="shared" si="264"/>
        <v>développer militaire </v>
      </c>
      <c r="G24" s="81">
        <f t="shared" si="264"/>
        <v>2</v>
      </c>
      <c r="H24" s="85">
        <f t="shared" si="264"/>
        <v>8</v>
      </c>
      <c r="I24" s="1" t="str">
        <f t="shared" si="264"/>
        <v/>
      </c>
      <c r="J24" s="34" t="str">
        <f>IF(D24="Squat",IF(I24&gt;10,MROUND((I24/100*SQMAX),2.5)," "),IF(D24="Bench",IF(I24&gt;10,MROUND((I24/100*BNMAX),2.5)," "),IF(D24="Deadlift",IF(I24&gt;10,MROUND((I24/100*DLMAX),2.5)," ")," ")))</f>
        <v> </v>
      </c>
      <c r="K24" s="26"/>
      <c r="L24" s="66" t="str">
        <f>IFERROR((J24/VLOOKUP(K24,'RPE vs. %'!$D$3:$P$11,H24+1,FALSE)),"")</f>
        <v/>
      </c>
      <c r="M24" s="67"/>
      <c r="N24" s="27"/>
      <c r="O24" s="57" t="str">
        <f t="shared" si="141"/>
        <v/>
      </c>
      <c r="P24" s="57" t="str">
        <f t="shared" si="142"/>
        <v/>
      </c>
      <c r="Q24" s="56">
        <f t="shared" si="143"/>
        <v>3</v>
      </c>
      <c r="R24" s="56">
        <f t="shared" si="144"/>
        <v>2460</v>
      </c>
      <c r="S24" s="57" t="str">
        <f t="shared" si="145"/>
        <v/>
      </c>
      <c r="T24" s="57" t="str">
        <f t="shared" si="146"/>
        <v/>
      </c>
      <c r="U24" s="57" t="str">
        <f t="shared" si="147"/>
        <v/>
      </c>
      <c r="V24" s="57" t="str">
        <f t="shared" si="148"/>
        <v/>
      </c>
      <c r="W24" s="57" t="str">
        <f t="shared" si="149"/>
        <v/>
      </c>
      <c r="X24" s="57" t="str">
        <f t="shared" si="150"/>
        <v/>
      </c>
      <c r="Y24" s="57" t="str">
        <f t="shared" si="151"/>
        <v/>
      </c>
      <c r="Z24" s="57" t="str">
        <f t="shared" si="152"/>
        <v/>
      </c>
      <c r="AA24" s="57" t="str">
        <f t="shared" si="153"/>
        <v/>
      </c>
      <c r="AB24" s="57" t="str">
        <f t="shared" si="154"/>
        <v/>
      </c>
      <c r="AC24" s="57" t="str">
        <f t="shared" si="155"/>
        <v/>
      </c>
      <c r="AD24" s="57" t="str">
        <f t="shared" si="156"/>
        <v/>
      </c>
      <c r="AE24" s="57" t="str">
        <f t="shared" si="157"/>
        <v/>
      </c>
      <c r="AF24" s="57" t="str">
        <f t="shared" si="158"/>
        <v/>
      </c>
      <c r="AG24" s="57" t="str">
        <f t="shared" si="159"/>
        <v/>
      </c>
      <c r="AH24" s="57" t="str">
        <f t="shared" si="160"/>
        <v/>
      </c>
      <c r="AI24" s="57" t="str">
        <f t="shared" si="161"/>
        <v/>
      </c>
      <c r="AJ24" s="57" t="str">
        <f t="shared" si="162"/>
        <v/>
      </c>
      <c r="AK24" s="57" t="str">
        <f t="shared" si="163"/>
        <v/>
      </c>
      <c r="AL24" s="57" t="str">
        <f t="shared" si="164"/>
        <v/>
      </c>
      <c r="AM24" s="27"/>
      <c r="AN24" s="78" t="str">
        <f t="shared" ref="AN24:AS24" si="265">AN15</f>
        <v>Renfo</v>
      </c>
      <c r="AO24" s="79" t="str">
        <f t="shared" si="265"/>
        <v/>
      </c>
      <c r="AP24" s="80" t="str">
        <f t="shared" si="265"/>
        <v>Back extension</v>
      </c>
      <c r="AQ24" s="81">
        <f t="shared" si="265"/>
        <v>5</v>
      </c>
      <c r="AR24" s="85">
        <f t="shared" si="265"/>
        <v>12</v>
      </c>
      <c r="AS24" s="117" t="str">
        <f t="shared" si="265"/>
        <v/>
      </c>
      <c r="AT24" s="34" t="str">
        <f>IF(AN24="Squat",IF(AS24&gt;10,MROUND((AS24/100*SQMAX),2.5)," "),IF(AN24="Bench",IF(AS24&gt;10,MROUND((AS24/100*BNMAX),2.5)," "),IF(AN24="Deadlift",IF(AS24&gt;10,MROUND((AS24/100*DLMAX),2.5)," ")," ")))</f>
        <v> </v>
      </c>
      <c r="AU24" s="26"/>
      <c r="AV24" s="66" t="str">
        <f>IFERROR((AT24/VLOOKUP(AU24,'RPE vs. %'!$D$3:$P$11,AR24+1,FALSE)),"")</f>
        <v/>
      </c>
      <c r="AW24" s="67"/>
      <c r="AX24" s="27"/>
      <c r="AY24" s="57" t="str">
        <f t="shared" si="166"/>
        <v/>
      </c>
      <c r="AZ24" s="57" t="str">
        <f t="shared" si="167"/>
        <v/>
      </c>
      <c r="BA24" s="56">
        <f t="shared" si="168"/>
        <v>3</v>
      </c>
      <c r="BB24" s="56">
        <f t="shared" si="169"/>
        <v>1425</v>
      </c>
      <c r="BC24" s="57" t="str">
        <f t="shared" si="170"/>
        <v/>
      </c>
      <c r="BD24" s="57" t="str">
        <f t="shared" si="171"/>
        <v/>
      </c>
      <c r="BE24" s="57" t="str">
        <f t="shared" si="172"/>
        <v/>
      </c>
      <c r="BF24" s="57" t="str">
        <f t="shared" si="173"/>
        <v/>
      </c>
      <c r="BG24" s="57" t="str">
        <f t="shared" si="174"/>
        <v/>
      </c>
      <c r="BH24" s="57" t="str">
        <f t="shared" si="175"/>
        <v/>
      </c>
      <c r="BI24" s="57" t="str">
        <f t="shared" si="176"/>
        <v/>
      </c>
      <c r="BJ24" s="57" t="str">
        <f t="shared" si="177"/>
        <v/>
      </c>
      <c r="BK24" s="57" t="str">
        <f t="shared" si="178"/>
        <v/>
      </c>
      <c r="BL24" s="57" t="str">
        <f t="shared" si="179"/>
        <v/>
      </c>
      <c r="BM24" s="57" t="str">
        <f t="shared" si="180"/>
        <v/>
      </c>
      <c r="BN24" s="57" t="str">
        <f t="shared" si="181"/>
        <v/>
      </c>
      <c r="BO24" s="57" t="str">
        <f t="shared" si="182"/>
        <v/>
      </c>
      <c r="BP24" s="57" t="str">
        <f t="shared" si="183"/>
        <v/>
      </c>
      <c r="BQ24" s="57" t="str">
        <f t="shared" si="184"/>
        <v/>
      </c>
      <c r="BR24" s="57" t="str">
        <f t="shared" si="185"/>
        <v/>
      </c>
      <c r="BS24" s="57" t="str">
        <f t="shared" si="186"/>
        <v/>
      </c>
      <c r="BT24" s="57" t="str">
        <f t="shared" si="187"/>
        <v/>
      </c>
      <c r="BU24" s="57" t="str">
        <f t="shared" si="188"/>
        <v/>
      </c>
      <c r="BV24" s="57" t="str">
        <f t="shared" si="189"/>
        <v/>
      </c>
      <c r="BW24" s="27"/>
      <c r="BX24" s="78" t="str">
        <f t="shared" ref="BX24:CC24" si="266">BX15</f>
        <v>Renfo</v>
      </c>
      <c r="BY24" s="79" t="str">
        <f t="shared" si="266"/>
        <v/>
      </c>
      <c r="BZ24" s="80" t="str">
        <f t="shared" si="266"/>
        <v>Incliné haltère</v>
      </c>
      <c r="CA24" s="81">
        <f t="shared" si="266"/>
        <v>3</v>
      </c>
      <c r="CB24" s="85">
        <f t="shared" si="266"/>
        <v>8</v>
      </c>
      <c r="CC24" s="117" t="str">
        <f t="shared" si="266"/>
        <v/>
      </c>
      <c r="CD24" s="34" t="str">
        <f>IF(BX24="Squat",IF(CC24&gt;10,MROUND((CC24/100*SQMAX),2.5)," "),IF(BX24="Bench",IF(CC24&gt;10,MROUND((CC24/100*BNMAX),2.5)," "),IF(BX24="Deadlift",IF(CC24&gt;10,MROUND((CC24/100*DLMAX),2.5)," ")," ")))</f>
        <v> </v>
      </c>
      <c r="CE24" s="26"/>
      <c r="CF24" s="66" t="str">
        <f>IFERROR((CD24/VLOOKUP(CE24,'RPE vs. %'!$D$3:$P$11,CB24+1,FALSE)),"")</f>
        <v/>
      </c>
      <c r="CG24" s="67"/>
      <c r="CH24" s="27"/>
      <c r="CI24" s="57" t="str">
        <f t="shared" si="191"/>
        <v/>
      </c>
      <c r="CJ24" s="57" t="str">
        <f t="shared" si="192"/>
        <v/>
      </c>
      <c r="CK24" s="56">
        <f t="shared" si="193"/>
        <v>2</v>
      </c>
      <c r="CL24" s="56">
        <f t="shared" si="194"/>
        <v>660</v>
      </c>
      <c r="CM24" s="57" t="str">
        <f t="shared" si="195"/>
        <v/>
      </c>
      <c r="CN24" s="57" t="str">
        <f t="shared" si="196"/>
        <v/>
      </c>
      <c r="CO24" s="57" t="str">
        <f t="shared" si="197"/>
        <v/>
      </c>
      <c r="CP24" s="57" t="str">
        <f t="shared" si="198"/>
        <v/>
      </c>
      <c r="CQ24" s="57" t="str">
        <f t="shared" si="199"/>
        <v/>
      </c>
      <c r="CR24" s="57" t="str">
        <f t="shared" si="200"/>
        <v/>
      </c>
      <c r="CS24" s="57" t="str">
        <f t="shared" si="201"/>
        <v/>
      </c>
      <c r="CT24" s="57" t="str">
        <f t="shared" si="202"/>
        <v/>
      </c>
      <c r="CU24" s="57" t="str">
        <f t="shared" si="203"/>
        <v/>
      </c>
      <c r="CV24" s="57" t="str">
        <f t="shared" si="204"/>
        <v/>
      </c>
      <c r="CW24" s="57" t="str">
        <f t="shared" si="205"/>
        <v/>
      </c>
      <c r="CX24" s="57" t="str">
        <f t="shared" si="206"/>
        <v/>
      </c>
      <c r="CY24" s="57" t="str">
        <f t="shared" si="207"/>
        <v/>
      </c>
      <c r="CZ24" s="57" t="str">
        <f t="shared" si="208"/>
        <v/>
      </c>
      <c r="DA24" s="57" t="str">
        <f t="shared" si="209"/>
        <v/>
      </c>
      <c r="DB24" s="57" t="str">
        <f t="shared" si="210"/>
        <v/>
      </c>
      <c r="DC24" s="57" t="str">
        <f t="shared" si="211"/>
        <v/>
      </c>
      <c r="DD24" s="57" t="str">
        <f t="shared" si="212"/>
        <v/>
      </c>
      <c r="DE24" s="57" t="str">
        <f t="shared" si="213"/>
        <v/>
      </c>
      <c r="DF24" s="57" t="str">
        <f t="shared" si="214"/>
        <v/>
      </c>
      <c r="DG24" s="27"/>
      <c r="DH24" s="78" t="str">
        <f t="shared" ref="DH24:DM24" si="267">DH15</f>
        <v>Renfo</v>
      </c>
      <c r="DI24" s="79" t="str">
        <f t="shared" si="267"/>
        <v/>
      </c>
      <c r="DJ24" s="80" t="str">
        <f t="shared" si="267"/>
        <v>Back extension (coté)</v>
      </c>
      <c r="DK24" s="81">
        <f t="shared" si="267"/>
        <v>3</v>
      </c>
      <c r="DL24" s="85">
        <f t="shared" si="267"/>
        <v>12</v>
      </c>
      <c r="DM24" s="119" t="str">
        <f t="shared" si="267"/>
        <v/>
      </c>
      <c r="DN24" s="34" t="str">
        <f>IF(DH24="Squat",IF(DM24&gt;10,MROUND((DM24/100*SQMAX),2.5)," "),IF(DH24="Bench",IF(DM24&gt;10,MROUND((DM24/100*BNMAX),2.5)," "),IF(DH24="Deadlift",IF(DM24&gt;10,MROUND((DM24/100*DLMAX),2.5)," ")," ")))</f>
        <v> </v>
      </c>
      <c r="DO24" s="26"/>
      <c r="DP24" s="66" t="str">
        <f>IFERROR((DN24/VLOOKUP(DO24,'RPE vs. %'!$D$3:$P$11,DL24+1,FALSE)),"")</f>
        <v/>
      </c>
      <c r="DQ24" s="67"/>
      <c r="DR24" s="27"/>
      <c r="DS24" s="27"/>
      <c r="DT24" s="57" t="str">
        <f t="shared" si="216"/>
        <v/>
      </c>
      <c r="DU24" s="57" t="str">
        <f t="shared" si="217"/>
        <v/>
      </c>
      <c r="DV24" s="57" t="str">
        <f t="shared" si="218"/>
        <v/>
      </c>
      <c r="DW24" s="57" t="str">
        <f t="shared" si="219"/>
        <v/>
      </c>
      <c r="DX24" s="56">
        <f t="shared" si="220"/>
        <v>3</v>
      </c>
      <c r="DY24" s="56">
        <f t="shared" si="221"/>
        <v>1912.5</v>
      </c>
      <c r="DZ24" s="57" t="str">
        <f t="shared" si="222"/>
        <v/>
      </c>
      <c r="EA24" s="57" t="str">
        <f t="shared" si="223"/>
        <v/>
      </c>
      <c r="EB24" s="57" t="str">
        <f t="shared" si="224"/>
        <v/>
      </c>
      <c r="EC24" s="57" t="str">
        <f t="shared" si="225"/>
        <v/>
      </c>
      <c r="ED24" s="57" t="str">
        <f t="shared" si="226"/>
        <v/>
      </c>
      <c r="EE24" s="57" t="str">
        <f t="shared" si="227"/>
        <v/>
      </c>
      <c r="EF24" s="57" t="str">
        <f t="shared" si="228"/>
        <v/>
      </c>
      <c r="EG24" s="57" t="str">
        <f t="shared" si="229"/>
        <v/>
      </c>
      <c r="EH24" s="57" t="str">
        <f t="shared" si="230"/>
        <v/>
      </c>
      <c r="EI24" s="57" t="str">
        <f t="shared" si="231"/>
        <v/>
      </c>
      <c r="EJ24" s="57" t="str">
        <f t="shared" si="232"/>
        <v/>
      </c>
      <c r="EK24" s="57" t="str">
        <f t="shared" si="233"/>
        <v/>
      </c>
      <c r="EL24" s="57" t="str">
        <f t="shared" si="234"/>
        <v/>
      </c>
      <c r="EM24" s="57" t="str">
        <f t="shared" si="235"/>
        <v/>
      </c>
      <c r="EN24" s="57" t="str">
        <f t="shared" si="236"/>
        <v/>
      </c>
      <c r="EO24" s="57" t="str">
        <f t="shared" si="237"/>
        <v/>
      </c>
      <c r="EP24" s="57" t="str">
        <f t="shared" si="238"/>
        <v/>
      </c>
      <c r="EQ24" s="57" t="str">
        <f t="shared" si="239"/>
        <v/>
      </c>
      <c r="ER24" s="56" t="str">
        <f t="shared" si="240"/>
        <v>#REF!</v>
      </c>
      <c r="ES24" s="56" t="str">
        <f t="shared" si="241"/>
        <v>#REF!</v>
      </c>
      <c r="ET24" s="56" t="str">
        <f t="shared" si="242"/>
        <v>#REF!</v>
      </c>
      <c r="EU24" s="56" t="str">
        <f t="shared" si="243"/>
        <v>#REF!</v>
      </c>
      <c r="EV24" s="56" t="str">
        <f t="shared" si="244"/>
        <v>#REF!</v>
      </c>
      <c r="EW24" s="56" t="str">
        <f t="shared" si="245"/>
        <v>#REF!</v>
      </c>
      <c r="EX24" s="56" t="str">
        <f t="shared" si="246"/>
        <v>#REF!</v>
      </c>
      <c r="EY24" s="56" t="str">
        <f t="shared" si="247"/>
        <v>#REF!</v>
      </c>
      <c r="EZ24" s="56" t="str">
        <f t="shared" si="248"/>
        <v>#REF!</v>
      </c>
      <c r="FA24" s="56" t="str">
        <f t="shared" si="249"/>
        <v>#REF!</v>
      </c>
      <c r="FB24" s="56" t="str">
        <f t="shared" si="250"/>
        <v>#REF!</v>
      </c>
      <c r="FC24" s="56" t="str">
        <f t="shared" si="251"/>
        <v>#REF!</v>
      </c>
      <c r="FD24" s="56" t="str">
        <f t="shared" si="252"/>
        <v>#REF!</v>
      </c>
      <c r="FE24" s="56" t="str">
        <f t="shared" si="253"/>
        <v>#REF!</v>
      </c>
      <c r="FF24" s="56" t="str">
        <f t="shared" si="254"/>
        <v>#REF!</v>
      </c>
      <c r="FG24" s="56" t="str">
        <f t="shared" si="255"/>
        <v>#REF!</v>
      </c>
      <c r="FH24" s="56" t="str">
        <f t="shared" si="256"/>
        <v>#REF!</v>
      </c>
      <c r="FI24" s="56" t="str">
        <f t="shared" si="257"/>
        <v>#REF!</v>
      </c>
      <c r="FJ24" s="56" t="str">
        <f t="shared" si="258"/>
        <v>#REF!</v>
      </c>
      <c r="FK24" s="56" t="str">
        <f t="shared" si="259"/>
        <v>#REF!</v>
      </c>
      <c r="FL24" s="56" t="str">
        <f t="shared" si="260"/>
        <v>#REF!</v>
      </c>
      <c r="FM24" s="56" t="str">
        <f t="shared" si="261"/>
        <v>#REF!</v>
      </c>
      <c r="FN24" s="56" t="str">
        <f t="shared" si="262"/>
        <v>#REF!</v>
      </c>
      <c r="FO24" s="56" t="str">
        <f t="shared" si="263"/>
        <v>#REF!</v>
      </c>
    </row>
    <row r="25">
      <c r="A25" s="27"/>
      <c r="C25" s="46"/>
      <c r="D25" s="79" t="str">
        <f t="shared" ref="D25:I25" si="268">D16</f>
        <v>Renfo</v>
      </c>
      <c r="E25" s="79" t="str">
        <f t="shared" si="268"/>
        <v/>
      </c>
      <c r="F25" s="79" t="str">
        <f t="shared" si="268"/>
        <v>élévation lateral</v>
      </c>
      <c r="G25" s="18">
        <f t="shared" si="268"/>
        <v>3</v>
      </c>
      <c r="H25" s="79">
        <f t="shared" si="268"/>
        <v>12</v>
      </c>
      <c r="I25" s="1" t="str">
        <f t="shared" si="268"/>
        <v/>
      </c>
      <c r="J25" s="34" t="str">
        <f>IF(D25="Squat",IF(I25&gt;10,MROUND((I25/100*SQMAX),2.5)," "),IF(D25="Bench",IF(I25&gt;10,MROUND((I25/100*BNMAX),2.5)," "),IF(D25="Deadlift",IF(I25&gt;10,MROUND((I25/100*DLMAX),2.5)," ")," ")))</f>
        <v> </v>
      </c>
      <c r="K25" s="26"/>
      <c r="L25" s="66" t="str">
        <f>IFERROR((J25/VLOOKUP(K25,'RPE vs. %'!$D$3:$P$11,H25+1,FALSE)),"")</f>
        <v/>
      </c>
      <c r="M25" s="67"/>
      <c r="N25" s="27"/>
      <c r="O25" s="57" t="str">
        <f t="shared" si="141"/>
        <v/>
      </c>
      <c r="P25" s="57" t="str">
        <f t="shared" si="142"/>
        <v/>
      </c>
      <c r="Q25" s="57" t="str">
        <f t="shared" si="143"/>
        <v/>
      </c>
      <c r="R25" s="57" t="str">
        <f t="shared" si="144"/>
        <v/>
      </c>
      <c r="S25" s="57" t="str">
        <f t="shared" si="145"/>
        <v/>
      </c>
      <c r="T25" s="57" t="str">
        <f t="shared" si="146"/>
        <v/>
      </c>
      <c r="U25" s="57" t="str">
        <f t="shared" si="147"/>
        <v/>
      </c>
      <c r="V25" s="57" t="str">
        <f t="shared" si="148"/>
        <v/>
      </c>
      <c r="W25" s="57" t="str">
        <f t="shared" si="149"/>
        <v/>
      </c>
      <c r="X25" s="57" t="str">
        <f t="shared" si="150"/>
        <v/>
      </c>
      <c r="Y25" s="57" t="str">
        <f t="shared" si="151"/>
        <v/>
      </c>
      <c r="Z25" s="57" t="str">
        <f t="shared" si="152"/>
        <v/>
      </c>
      <c r="AA25" s="57" t="str">
        <f t="shared" si="153"/>
        <v/>
      </c>
      <c r="AB25" s="57" t="str">
        <f t="shared" si="154"/>
        <v/>
      </c>
      <c r="AC25" s="57" t="str">
        <f t="shared" si="155"/>
        <v/>
      </c>
      <c r="AD25" s="57" t="str">
        <f t="shared" si="156"/>
        <v/>
      </c>
      <c r="AE25" s="57" t="str">
        <f t="shared" si="157"/>
        <v/>
      </c>
      <c r="AF25" s="57" t="str">
        <f t="shared" si="158"/>
        <v/>
      </c>
      <c r="AG25" s="57" t="str">
        <f t="shared" si="159"/>
        <v/>
      </c>
      <c r="AH25" s="57" t="str">
        <f t="shared" si="160"/>
        <v/>
      </c>
      <c r="AI25" s="57" t="str">
        <f t="shared" si="161"/>
        <v/>
      </c>
      <c r="AJ25" s="57" t="str">
        <f t="shared" si="162"/>
        <v/>
      </c>
      <c r="AK25" s="57" t="str">
        <f t="shared" si="163"/>
        <v/>
      </c>
      <c r="AL25" s="57" t="str">
        <f t="shared" si="164"/>
        <v/>
      </c>
      <c r="AM25" s="27"/>
      <c r="AN25" s="78" t="str">
        <f t="shared" ref="AN25:AS25" si="269">AN16</f>
        <v>Renfo</v>
      </c>
      <c r="AO25" s="79" t="str">
        <f t="shared" si="269"/>
        <v/>
      </c>
      <c r="AP25" s="80" t="str">
        <f t="shared" si="269"/>
        <v>Traction</v>
      </c>
      <c r="AQ25" s="81">
        <f t="shared" si="269"/>
        <v>3</v>
      </c>
      <c r="AR25" s="85">
        <f t="shared" si="269"/>
        <v>12</v>
      </c>
      <c r="AS25" s="117" t="str">
        <f t="shared" si="269"/>
        <v/>
      </c>
      <c r="AT25" s="34" t="str">
        <f>IF(AN25="Squat",IF(AS25&gt;10,MROUND((AS25/100*SQMAX),2.5)," "),IF(AN25="Bench",IF(AS25&gt;10,MROUND((AS25/100*BNMAX),2.5)," "),IF(AN25="Deadlift",IF(AS25&gt;10,MROUND((AS25/100*DLMAX),2.5)," ")," ")))</f>
        <v> </v>
      </c>
      <c r="AU25" s="26"/>
      <c r="AV25" s="66" t="str">
        <f>IFERROR((AT25/VLOOKUP(AU25,'RPE vs. %'!$D$3:$P$11,AR25+1,FALSE)),"")</f>
        <v/>
      </c>
      <c r="AW25" s="67"/>
      <c r="AX25" s="27"/>
      <c r="AY25" s="57" t="str">
        <f t="shared" si="166"/>
        <v/>
      </c>
      <c r="AZ25" s="57" t="str">
        <f t="shared" si="167"/>
        <v/>
      </c>
      <c r="BA25" s="57" t="str">
        <f t="shared" si="168"/>
        <v/>
      </c>
      <c r="BB25" s="57" t="str">
        <f t="shared" si="169"/>
        <v/>
      </c>
      <c r="BC25" s="57" t="str">
        <f t="shared" si="170"/>
        <v/>
      </c>
      <c r="BD25" s="57" t="str">
        <f t="shared" si="171"/>
        <v/>
      </c>
      <c r="BE25" s="57" t="str">
        <f t="shared" si="172"/>
        <v/>
      </c>
      <c r="BF25" s="57" t="str">
        <f t="shared" si="173"/>
        <v/>
      </c>
      <c r="BG25" s="57" t="str">
        <f t="shared" si="174"/>
        <v/>
      </c>
      <c r="BH25" s="57" t="str">
        <f t="shared" si="175"/>
        <v/>
      </c>
      <c r="BI25" s="57" t="str">
        <f t="shared" si="176"/>
        <v/>
      </c>
      <c r="BJ25" s="57" t="str">
        <f t="shared" si="177"/>
        <v/>
      </c>
      <c r="BK25" s="57" t="str">
        <f t="shared" si="178"/>
        <v/>
      </c>
      <c r="BL25" s="57" t="str">
        <f t="shared" si="179"/>
        <v/>
      </c>
      <c r="BM25" s="57" t="str">
        <f t="shared" si="180"/>
        <v/>
      </c>
      <c r="BN25" s="57" t="str">
        <f t="shared" si="181"/>
        <v/>
      </c>
      <c r="BO25" s="57" t="str">
        <f t="shared" si="182"/>
        <v/>
      </c>
      <c r="BP25" s="57" t="str">
        <f t="shared" si="183"/>
        <v/>
      </c>
      <c r="BQ25" s="57" t="str">
        <f t="shared" si="184"/>
        <v/>
      </c>
      <c r="BR25" s="57" t="str">
        <f t="shared" si="185"/>
        <v/>
      </c>
      <c r="BS25" s="57" t="str">
        <f t="shared" si="186"/>
        <v/>
      </c>
      <c r="BT25" s="57" t="str">
        <f t="shared" si="187"/>
        <v/>
      </c>
      <c r="BU25" s="57" t="str">
        <f t="shared" si="188"/>
        <v/>
      </c>
      <c r="BV25" s="57" t="str">
        <f t="shared" si="189"/>
        <v/>
      </c>
      <c r="BW25" s="27"/>
      <c r="BX25" s="78" t="str">
        <f t="shared" ref="BX25:CC25" si="270">BX16</f>
        <v>Renfo</v>
      </c>
      <c r="BY25" s="79" t="str">
        <f t="shared" si="270"/>
        <v/>
      </c>
      <c r="BZ25" s="80" t="str">
        <f t="shared" si="270"/>
        <v>Extension triceps</v>
      </c>
      <c r="CA25" s="81">
        <f t="shared" si="270"/>
        <v>3</v>
      </c>
      <c r="CB25" s="85">
        <f t="shared" si="270"/>
        <v>15</v>
      </c>
      <c r="CC25" s="117" t="str">
        <f t="shared" si="270"/>
        <v/>
      </c>
      <c r="CD25" s="34" t="str">
        <f>IF(BX25="Squat",IF(CC25&gt;10,MROUND((CC25/100*SQMAX),2.5)," "),IF(BX25="Bench",IF(CC25&gt;10,MROUND((CC25/100*BNMAX),2.5)," "),IF(BX25="Deadlift",IF(CC25&gt;10,MROUND((CC25/100*DLMAX),2.5)," ")," ")))</f>
        <v> </v>
      </c>
      <c r="CE25" s="26"/>
      <c r="CF25" s="66" t="str">
        <f>IFERROR((CD25/VLOOKUP(CE25,'RPE vs. %'!$D$3:$P$11,CB25+1,FALSE)),"")</f>
        <v/>
      </c>
      <c r="CG25" s="67"/>
      <c r="CH25" s="27"/>
      <c r="CI25" s="57" t="str">
        <f t="shared" si="191"/>
        <v/>
      </c>
      <c r="CJ25" s="57" t="str">
        <f t="shared" si="192"/>
        <v/>
      </c>
      <c r="CK25" s="57" t="str">
        <f t="shared" si="193"/>
        <v/>
      </c>
      <c r="CL25" s="57" t="str">
        <f t="shared" si="194"/>
        <v/>
      </c>
      <c r="CM25" s="57" t="str">
        <f t="shared" si="195"/>
        <v/>
      </c>
      <c r="CN25" s="57" t="str">
        <f t="shared" si="196"/>
        <v/>
      </c>
      <c r="CO25" s="57" t="str">
        <f t="shared" si="197"/>
        <v/>
      </c>
      <c r="CP25" s="57" t="str">
        <f t="shared" si="198"/>
        <v/>
      </c>
      <c r="CQ25" s="57" t="str">
        <f t="shared" si="199"/>
        <v/>
      </c>
      <c r="CR25" s="57" t="str">
        <f t="shared" si="200"/>
        <v/>
      </c>
      <c r="CS25" s="57" t="str">
        <f t="shared" si="201"/>
        <v/>
      </c>
      <c r="CT25" s="57" t="str">
        <f t="shared" si="202"/>
        <v/>
      </c>
      <c r="CU25" s="57" t="str">
        <f t="shared" si="203"/>
        <v/>
      </c>
      <c r="CV25" s="57" t="str">
        <f t="shared" si="204"/>
        <v/>
      </c>
      <c r="CW25" s="57" t="str">
        <f t="shared" si="205"/>
        <v/>
      </c>
      <c r="CX25" s="57" t="str">
        <f t="shared" si="206"/>
        <v/>
      </c>
      <c r="CY25" s="57" t="str">
        <f t="shared" si="207"/>
        <v/>
      </c>
      <c r="CZ25" s="57" t="str">
        <f t="shared" si="208"/>
        <v/>
      </c>
      <c r="DA25" s="57" t="str">
        <f t="shared" si="209"/>
        <v/>
      </c>
      <c r="DB25" s="57" t="str">
        <f t="shared" si="210"/>
        <v/>
      </c>
      <c r="DC25" s="57" t="str">
        <f t="shared" si="211"/>
        <v/>
      </c>
      <c r="DD25" s="57" t="str">
        <f t="shared" si="212"/>
        <v/>
      </c>
      <c r="DE25" s="57" t="str">
        <f t="shared" si="213"/>
        <v/>
      </c>
      <c r="DF25" s="57" t="str">
        <f t="shared" si="214"/>
        <v/>
      </c>
      <c r="DG25" s="27"/>
      <c r="DH25" s="79" t="str">
        <f t="shared" ref="DH25:DM25" si="271">DH16</f>
        <v/>
      </c>
      <c r="DI25" s="79" t="str">
        <f t="shared" si="271"/>
        <v/>
      </c>
      <c r="DJ25" s="79" t="str">
        <f t="shared" si="271"/>
        <v/>
      </c>
      <c r="DK25" s="18" t="str">
        <f t="shared" si="271"/>
        <v/>
      </c>
      <c r="DL25" s="79" t="str">
        <f t="shared" si="271"/>
        <v/>
      </c>
      <c r="DM25" s="119" t="str">
        <f t="shared" si="271"/>
        <v/>
      </c>
      <c r="DN25" s="34" t="str">
        <f>IF(DH25="Squat",IF(DM25&gt;10,MROUND((DM25/100*SQMAX),2.5)," "),IF(DH25="Bench",IF(DM25&gt;10,MROUND((DM25/100*BNMAX),2.5)," "),IF(DH25="Deadlift",IF(DM25&gt;10,MROUND((DM25/100*DLMAX),2.5)," ")," ")))</f>
        <v> </v>
      </c>
      <c r="DO25" s="26"/>
      <c r="DP25" s="66" t="str">
        <f>IFERROR((DN25/VLOOKUP(DO25,'RPE vs. %'!$D$3:$P$11,DL25+1,FALSE)),"")</f>
        <v/>
      </c>
      <c r="DQ25" s="67"/>
      <c r="DR25" s="27"/>
      <c r="DS25" s="27"/>
      <c r="DT25" s="57" t="str">
        <f t="shared" si="216"/>
        <v/>
      </c>
      <c r="DU25" s="57" t="str">
        <f t="shared" si="217"/>
        <v/>
      </c>
      <c r="DV25" s="57" t="str">
        <f t="shared" si="218"/>
        <v/>
      </c>
      <c r="DW25" s="57" t="str">
        <f t="shared" si="219"/>
        <v/>
      </c>
      <c r="DX25" s="57" t="str">
        <f t="shared" si="220"/>
        <v/>
      </c>
      <c r="DY25" s="57" t="str">
        <f t="shared" si="221"/>
        <v/>
      </c>
      <c r="DZ25" s="57" t="str">
        <f t="shared" si="222"/>
        <v/>
      </c>
      <c r="EA25" s="57" t="str">
        <f t="shared" si="223"/>
        <v/>
      </c>
      <c r="EB25" s="57" t="str">
        <f t="shared" si="224"/>
        <v/>
      </c>
      <c r="EC25" s="57" t="str">
        <f t="shared" si="225"/>
        <v/>
      </c>
      <c r="ED25" s="57" t="str">
        <f t="shared" si="226"/>
        <v/>
      </c>
      <c r="EE25" s="57" t="str">
        <f t="shared" si="227"/>
        <v/>
      </c>
      <c r="EF25" s="57" t="str">
        <f t="shared" si="228"/>
        <v/>
      </c>
      <c r="EG25" s="57" t="str">
        <f t="shared" si="229"/>
        <v/>
      </c>
      <c r="EH25" s="57" t="str">
        <f t="shared" si="230"/>
        <v/>
      </c>
      <c r="EI25" s="57" t="str">
        <f t="shared" si="231"/>
        <v/>
      </c>
      <c r="EJ25" s="57" t="str">
        <f t="shared" si="232"/>
        <v/>
      </c>
      <c r="EK25" s="57" t="str">
        <f t="shared" si="233"/>
        <v/>
      </c>
      <c r="EL25" s="57" t="str">
        <f t="shared" si="234"/>
        <v/>
      </c>
      <c r="EM25" s="57" t="str">
        <f t="shared" si="235"/>
        <v/>
      </c>
      <c r="EN25" s="57" t="str">
        <f t="shared" si="236"/>
        <v/>
      </c>
      <c r="EO25" s="57" t="str">
        <f t="shared" si="237"/>
        <v/>
      </c>
      <c r="EP25" s="57" t="str">
        <f t="shared" si="238"/>
        <v/>
      </c>
      <c r="EQ25" s="57" t="str">
        <f t="shared" si="239"/>
        <v/>
      </c>
      <c r="ER25" s="56" t="str">
        <f t="shared" si="240"/>
        <v>#REF!</v>
      </c>
      <c r="ES25" s="56" t="str">
        <f t="shared" si="241"/>
        <v>#REF!</v>
      </c>
      <c r="ET25" s="56" t="str">
        <f t="shared" si="242"/>
        <v>#REF!</v>
      </c>
      <c r="EU25" s="56" t="str">
        <f t="shared" si="243"/>
        <v>#REF!</v>
      </c>
      <c r="EV25" s="56" t="str">
        <f t="shared" si="244"/>
        <v>#REF!</v>
      </c>
      <c r="EW25" s="56" t="str">
        <f t="shared" si="245"/>
        <v>#REF!</v>
      </c>
      <c r="EX25" s="56" t="str">
        <f t="shared" si="246"/>
        <v>#REF!</v>
      </c>
      <c r="EY25" s="56" t="str">
        <f t="shared" si="247"/>
        <v>#REF!</v>
      </c>
      <c r="EZ25" s="56" t="str">
        <f t="shared" si="248"/>
        <v>#REF!</v>
      </c>
      <c r="FA25" s="56" t="str">
        <f t="shared" si="249"/>
        <v>#REF!</v>
      </c>
      <c r="FB25" s="56" t="str">
        <f t="shared" si="250"/>
        <v>#REF!</v>
      </c>
      <c r="FC25" s="56" t="str">
        <f t="shared" si="251"/>
        <v>#REF!</v>
      </c>
      <c r="FD25" s="56" t="str">
        <f t="shared" si="252"/>
        <v>#REF!</v>
      </c>
      <c r="FE25" s="56" t="str">
        <f t="shared" si="253"/>
        <v>#REF!</v>
      </c>
      <c r="FF25" s="56" t="str">
        <f t="shared" si="254"/>
        <v>#REF!</v>
      </c>
      <c r="FG25" s="56" t="str">
        <f t="shared" si="255"/>
        <v>#REF!</v>
      </c>
      <c r="FH25" s="56" t="str">
        <f t="shared" si="256"/>
        <v>#REF!</v>
      </c>
      <c r="FI25" s="56" t="str">
        <f t="shared" si="257"/>
        <v>#REF!</v>
      </c>
      <c r="FJ25" s="56" t="str">
        <f t="shared" si="258"/>
        <v>#REF!</v>
      </c>
      <c r="FK25" s="56" t="str">
        <f t="shared" si="259"/>
        <v>#REF!</v>
      </c>
      <c r="FL25" s="56" t="str">
        <f t="shared" si="260"/>
        <v>#REF!</v>
      </c>
      <c r="FM25" s="56" t="str">
        <f t="shared" si="261"/>
        <v>#REF!</v>
      </c>
      <c r="FN25" s="56" t="str">
        <f t="shared" si="262"/>
        <v>#REF!</v>
      </c>
      <c r="FO25" s="56" t="str">
        <f t="shared" si="263"/>
        <v>#REF!</v>
      </c>
    </row>
    <row r="26">
      <c r="A26" s="27"/>
      <c r="C26" s="46"/>
      <c r="D26" s="79" t="str">
        <f t="shared" ref="D26:I26" si="272">D17</f>
        <v/>
      </c>
      <c r="E26" s="79" t="str">
        <f t="shared" si="272"/>
        <v/>
      </c>
      <c r="F26" s="79" t="str">
        <f t="shared" si="272"/>
        <v/>
      </c>
      <c r="G26" s="18" t="str">
        <f t="shared" si="272"/>
        <v/>
      </c>
      <c r="H26" s="79" t="str">
        <f t="shared" si="272"/>
        <v/>
      </c>
      <c r="I26" s="1" t="str">
        <f t="shared" si="272"/>
        <v/>
      </c>
      <c r="J26" s="34" t="str">
        <f>IF(D26="Squat",IF(I26&gt;10,MROUND((I26/100*SQMAX),2.5)," "),IF(D26="Bench",IF(I26&gt;10,MROUND((I26/100*BNMAX),2.5)," "),IF(D26="Deadlift",IF(I26&gt;10,MROUND((I26/100*DLMAX),2.5)," ")," ")))</f>
        <v> </v>
      </c>
      <c r="K26" s="26"/>
      <c r="L26" s="88" t="str">
        <f>IFERROR((J26/VLOOKUP(K26,'RPE vs. %'!$D$3:$P$11,H26+1,FALSE)),"")</f>
        <v/>
      </c>
      <c r="M26" s="89"/>
      <c r="N26" s="27"/>
      <c r="O26" s="57" t="str">
        <f t="shared" si="141"/>
        <v/>
      </c>
      <c r="P26" s="57" t="str">
        <f t="shared" si="142"/>
        <v/>
      </c>
      <c r="Q26" s="57" t="str">
        <f t="shared" si="143"/>
        <v/>
      </c>
      <c r="R26" s="57" t="str">
        <f t="shared" si="144"/>
        <v/>
      </c>
      <c r="S26" s="57" t="str">
        <f t="shared" si="145"/>
        <v/>
      </c>
      <c r="T26" s="57" t="str">
        <f t="shared" si="146"/>
        <v/>
      </c>
      <c r="U26" s="57" t="str">
        <f t="shared" si="147"/>
        <v/>
      </c>
      <c r="V26" s="57" t="str">
        <f t="shared" si="148"/>
        <v/>
      </c>
      <c r="W26" s="57" t="str">
        <f t="shared" si="149"/>
        <v/>
      </c>
      <c r="X26" s="57" t="str">
        <f t="shared" si="150"/>
        <v/>
      </c>
      <c r="Y26" s="57" t="str">
        <f t="shared" si="151"/>
        <v/>
      </c>
      <c r="Z26" s="57" t="str">
        <f t="shared" si="152"/>
        <v/>
      </c>
      <c r="AA26" s="57" t="str">
        <f t="shared" si="153"/>
        <v/>
      </c>
      <c r="AB26" s="57" t="str">
        <f t="shared" si="154"/>
        <v/>
      </c>
      <c r="AC26" s="57" t="str">
        <f t="shared" si="155"/>
        <v/>
      </c>
      <c r="AD26" s="57" t="str">
        <f t="shared" si="156"/>
        <v/>
      </c>
      <c r="AE26" s="57" t="str">
        <f t="shared" si="157"/>
        <v/>
      </c>
      <c r="AF26" s="57" t="str">
        <f t="shared" si="158"/>
        <v/>
      </c>
      <c r="AG26" s="57" t="str">
        <f t="shared" si="159"/>
        <v/>
      </c>
      <c r="AH26" s="57" t="str">
        <f t="shared" si="160"/>
        <v/>
      </c>
      <c r="AI26" s="57" t="str">
        <f t="shared" si="161"/>
        <v/>
      </c>
      <c r="AJ26" s="57" t="str">
        <f t="shared" si="162"/>
        <v/>
      </c>
      <c r="AK26" s="57" t="str">
        <f t="shared" si="163"/>
        <v/>
      </c>
      <c r="AL26" s="57" t="str">
        <f t="shared" si="164"/>
        <v/>
      </c>
      <c r="AM26" s="27"/>
      <c r="AN26" s="79" t="str">
        <f t="shared" ref="AN26:AS26" si="273">AN17</f>
        <v/>
      </c>
      <c r="AO26" s="79" t="str">
        <f t="shared" si="273"/>
        <v/>
      </c>
      <c r="AP26" s="79" t="str">
        <f t="shared" si="273"/>
        <v/>
      </c>
      <c r="AQ26" s="18" t="str">
        <f t="shared" si="273"/>
        <v/>
      </c>
      <c r="AR26" s="79" t="str">
        <f t="shared" si="273"/>
        <v/>
      </c>
      <c r="AS26" s="117" t="str">
        <f t="shared" si="273"/>
        <v/>
      </c>
      <c r="AT26" s="34" t="str">
        <f>IF(AN26="Squat",IF(AS26&gt;10,MROUND((AS26/100*SQMAX),2.5)," "),IF(AN26="Bench",IF(AS26&gt;10,MROUND((AS26/100*BNMAX),2.5)," "),IF(AN26="Deadlift",IF(AS26&gt;10,MROUND((AS26/100*DLMAX),2.5)," ")," ")))</f>
        <v> </v>
      </c>
      <c r="AU26" s="26"/>
      <c r="AV26" s="88" t="str">
        <f>IFERROR((AT26/VLOOKUP(AU26,'RPE vs. %'!$D$3:$P$11,AR26+1,FALSE)),"")</f>
        <v/>
      </c>
      <c r="AW26" s="89"/>
      <c r="AX26" s="27"/>
      <c r="AY26" s="57" t="str">
        <f t="shared" si="166"/>
        <v/>
      </c>
      <c r="AZ26" s="57" t="str">
        <f t="shared" si="167"/>
        <v/>
      </c>
      <c r="BA26" s="57" t="str">
        <f t="shared" si="168"/>
        <v/>
      </c>
      <c r="BB26" s="57" t="str">
        <f t="shared" si="169"/>
        <v/>
      </c>
      <c r="BC26" s="57" t="str">
        <f t="shared" si="170"/>
        <v/>
      </c>
      <c r="BD26" s="57" t="str">
        <f t="shared" si="171"/>
        <v/>
      </c>
      <c r="BE26" s="57" t="str">
        <f t="shared" si="172"/>
        <v/>
      </c>
      <c r="BF26" s="57" t="str">
        <f t="shared" si="173"/>
        <v/>
      </c>
      <c r="BG26" s="57" t="str">
        <f t="shared" si="174"/>
        <v/>
      </c>
      <c r="BH26" s="57" t="str">
        <f t="shared" si="175"/>
        <v/>
      </c>
      <c r="BI26" s="57" t="str">
        <f t="shared" si="176"/>
        <v/>
      </c>
      <c r="BJ26" s="57" t="str">
        <f t="shared" si="177"/>
        <v/>
      </c>
      <c r="BK26" s="57" t="str">
        <f t="shared" si="178"/>
        <v/>
      </c>
      <c r="BL26" s="57" t="str">
        <f t="shared" si="179"/>
        <v/>
      </c>
      <c r="BM26" s="57" t="str">
        <f t="shared" si="180"/>
        <v/>
      </c>
      <c r="BN26" s="57" t="str">
        <f t="shared" si="181"/>
        <v/>
      </c>
      <c r="BO26" s="57" t="str">
        <f t="shared" si="182"/>
        <v/>
      </c>
      <c r="BP26" s="57" t="str">
        <f t="shared" si="183"/>
        <v/>
      </c>
      <c r="BQ26" s="57" t="str">
        <f t="shared" si="184"/>
        <v/>
      </c>
      <c r="BR26" s="57" t="str">
        <f t="shared" si="185"/>
        <v/>
      </c>
      <c r="BS26" s="57" t="str">
        <f t="shared" si="186"/>
        <v/>
      </c>
      <c r="BT26" s="57" t="str">
        <f t="shared" si="187"/>
        <v/>
      </c>
      <c r="BU26" s="57" t="str">
        <f t="shared" si="188"/>
        <v/>
      </c>
      <c r="BV26" s="57" t="str">
        <f t="shared" si="189"/>
        <v/>
      </c>
      <c r="BW26" s="27"/>
      <c r="BX26" s="79" t="str">
        <f t="shared" ref="BX26:CC26" si="274">BX17</f>
        <v/>
      </c>
      <c r="BY26" s="79" t="str">
        <f t="shared" si="274"/>
        <v/>
      </c>
      <c r="BZ26" s="79" t="str">
        <f t="shared" si="274"/>
        <v/>
      </c>
      <c r="CA26" s="18" t="str">
        <f t="shared" si="274"/>
        <v/>
      </c>
      <c r="CB26" s="79" t="str">
        <f t="shared" si="274"/>
        <v/>
      </c>
      <c r="CC26" s="117" t="str">
        <f t="shared" si="274"/>
        <v/>
      </c>
      <c r="CD26" s="34" t="str">
        <f>IF(BX26="Squat",IF(CC26&gt;10,MROUND((CC26/100*SQMAX),2.5)," "),IF(BX26="Bench",IF(CC26&gt;10,MROUND((CC26/100*BNMAX),2.5)," "),IF(BX26="Deadlift",IF(CC26&gt;10,MROUND((CC26/100*DLMAX),2.5)," ")," ")))</f>
        <v> </v>
      </c>
      <c r="CE26" s="26"/>
      <c r="CF26" s="88" t="str">
        <f>IFERROR((CD26/VLOOKUP(CE26,'RPE vs. %'!$D$3:$P$11,CB26+1,FALSE)),"")</f>
        <v/>
      </c>
      <c r="CG26" s="89"/>
      <c r="CH26" s="27"/>
      <c r="CI26" s="57" t="str">
        <f t="shared" si="191"/>
        <v/>
      </c>
      <c r="CJ26" s="57" t="str">
        <f t="shared" si="192"/>
        <v/>
      </c>
      <c r="CK26" s="57" t="str">
        <f t="shared" si="193"/>
        <v/>
      </c>
      <c r="CL26" s="57" t="str">
        <f t="shared" si="194"/>
        <v/>
      </c>
      <c r="CM26" s="57" t="str">
        <f t="shared" si="195"/>
        <v/>
      </c>
      <c r="CN26" s="57" t="str">
        <f t="shared" si="196"/>
        <v/>
      </c>
      <c r="CO26" s="57" t="str">
        <f t="shared" si="197"/>
        <v/>
      </c>
      <c r="CP26" s="57" t="str">
        <f t="shared" si="198"/>
        <v/>
      </c>
      <c r="CQ26" s="57" t="str">
        <f t="shared" si="199"/>
        <v/>
      </c>
      <c r="CR26" s="57" t="str">
        <f t="shared" si="200"/>
        <v/>
      </c>
      <c r="CS26" s="57" t="str">
        <f t="shared" si="201"/>
        <v/>
      </c>
      <c r="CT26" s="57" t="str">
        <f t="shared" si="202"/>
        <v/>
      </c>
      <c r="CU26" s="57" t="str">
        <f t="shared" si="203"/>
        <v/>
      </c>
      <c r="CV26" s="57" t="str">
        <f t="shared" si="204"/>
        <v/>
      </c>
      <c r="CW26" s="57" t="str">
        <f t="shared" si="205"/>
        <v/>
      </c>
      <c r="CX26" s="57" t="str">
        <f t="shared" si="206"/>
        <v/>
      </c>
      <c r="CY26" s="57" t="str">
        <f t="shared" si="207"/>
        <v/>
      </c>
      <c r="CZ26" s="57" t="str">
        <f t="shared" si="208"/>
        <v/>
      </c>
      <c r="DA26" s="57" t="str">
        <f t="shared" si="209"/>
        <v/>
      </c>
      <c r="DB26" s="57" t="str">
        <f t="shared" si="210"/>
        <v/>
      </c>
      <c r="DC26" s="57" t="str">
        <f t="shared" si="211"/>
        <v/>
      </c>
      <c r="DD26" s="57" t="str">
        <f t="shared" si="212"/>
        <v/>
      </c>
      <c r="DE26" s="57" t="str">
        <f t="shared" si="213"/>
        <v/>
      </c>
      <c r="DF26" s="57" t="str">
        <f t="shared" si="214"/>
        <v/>
      </c>
      <c r="DG26" s="27"/>
      <c r="DH26" s="79" t="str">
        <f t="shared" ref="DH26:DM26" si="275">DH17</f>
        <v/>
      </c>
      <c r="DI26" s="79" t="str">
        <f t="shared" si="275"/>
        <v/>
      </c>
      <c r="DJ26" s="79" t="str">
        <f t="shared" si="275"/>
        <v/>
      </c>
      <c r="DK26" s="18" t="str">
        <f t="shared" si="275"/>
        <v/>
      </c>
      <c r="DL26" s="79" t="str">
        <f t="shared" si="275"/>
        <v/>
      </c>
      <c r="DM26" s="119" t="str">
        <f t="shared" si="275"/>
        <v/>
      </c>
      <c r="DN26" s="34" t="str">
        <f>IF(DH26="Squat",IF(DM26&gt;10,MROUND((DM26/100*SQMAX),2.5)," "),IF(DH26="Bench",IF(DM26&gt;10,MROUND((DM26/100*BNMAX),2.5)," "),IF(DH26="Deadlift",IF(DM26&gt;10,MROUND((DM26/100*DLMAX),2.5)," ")," ")))</f>
        <v> </v>
      </c>
      <c r="DO26" s="26"/>
      <c r="DP26" s="88" t="str">
        <f>IFERROR((DN26/VLOOKUP(DO26,'RPE vs. %'!$D$3:$P$11,DL26+1,FALSE)),"")</f>
        <v/>
      </c>
      <c r="DQ26" s="89"/>
      <c r="DR26" s="27"/>
      <c r="DS26" s="27"/>
      <c r="DT26" s="57" t="str">
        <f t="shared" si="216"/>
        <v/>
      </c>
      <c r="DU26" s="57" t="str">
        <f t="shared" si="217"/>
        <v/>
      </c>
      <c r="DV26" s="57" t="str">
        <f t="shared" si="218"/>
        <v/>
      </c>
      <c r="DW26" s="57" t="str">
        <f t="shared" si="219"/>
        <v/>
      </c>
      <c r="DX26" s="57" t="str">
        <f t="shared" si="220"/>
        <v/>
      </c>
      <c r="DY26" s="57" t="str">
        <f t="shared" si="221"/>
        <v/>
      </c>
      <c r="DZ26" s="57" t="str">
        <f t="shared" si="222"/>
        <v/>
      </c>
      <c r="EA26" s="57" t="str">
        <f t="shared" si="223"/>
        <v/>
      </c>
      <c r="EB26" s="57" t="str">
        <f t="shared" si="224"/>
        <v/>
      </c>
      <c r="EC26" s="57" t="str">
        <f t="shared" si="225"/>
        <v/>
      </c>
      <c r="ED26" s="57" t="str">
        <f t="shared" si="226"/>
        <v/>
      </c>
      <c r="EE26" s="57" t="str">
        <f t="shared" si="227"/>
        <v/>
      </c>
      <c r="EF26" s="57" t="str">
        <f t="shared" si="228"/>
        <v/>
      </c>
      <c r="EG26" s="57" t="str">
        <f t="shared" si="229"/>
        <v/>
      </c>
      <c r="EH26" s="57" t="str">
        <f t="shared" si="230"/>
        <v/>
      </c>
      <c r="EI26" s="57" t="str">
        <f t="shared" si="231"/>
        <v/>
      </c>
      <c r="EJ26" s="57" t="str">
        <f t="shared" si="232"/>
        <v/>
      </c>
      <c r="EK26" s="57" t="str">
        <f t="shared" si="233"/>
        <v/>
      </c>
      <c r="EL26" s="57" t="str">
        <f t="shared" si="234"/>
        <v/>
      </c>
      <c r="EM26" s="57" t="str">
        <f t="shared" si="235"/>
        <v/>
      </c>
      <c r="EN26" s="57" t="str">
        <f t="shared" si="236"/>
        <v/>
      </c>
      <c r="EO26" s="57" t="str">
        <f t="shared" si="237"/>
        <v/>
      </c>
      <c r="EP26" s="57" t="str">
        <f t="shared" si="238"/>
        <v/>
      </c>
      <c r="EQ26" s="57" t="str">
        <f t="shared" si="239"/>
        <v/>
      </c>
      <c r="ER26" s="56" t="str">
        <f t="shared" si="240"/>
        <v>#REF!</v>
      </c>
      <c r="ES26" s="56" t="str">
        <f t="shared" si="241"/>
        <v>#REF!</v>
      </c>
      <c r="ET26" s="56" t="str">
        <f t="shared" si="242"/>
        <v>#REF!</v>
      </c>
      <c r="EU26" s="56" t="str">
        <f t="shared" si="243"/>
        <v>#REF!</v>
      </c>
      <c r="EV26" s="56" t="str">
        <f t="shared" si="244"/>
        <v>#REF!</v>
      </c>
      <c r="EW26" s="56" t="str">
        <f t="shared" si="245"/>
        <v>#REF!</v>
      </c>
      <c r="EX26" s="56" t="str">
        <f t="shared" si="246"/>
        <v>#REF!</v>
      </c>
      <c r="EY26" s="56" t="str">
        <f t="shared" si="247"/>
        <v>#REF!</v>
      </c>
      <c r="EZ26" s="56" t="str">
        <f t="shared" si="248"/>
        <v>#REF!</v>
      </c>
      <c r="FA26" s="56" t="str">
        <f t="shared" si="249"/>
        <v>#REF!</v>
      </c>
      <c r="FB26" s="56" t="str">
        <f t="shared" si="250"/>
        <v>#REF!</v>
      </c>
      <c r="FC26" s="56" t="str">
        <f t="shared" si="251"/>
        <v>#REF!</v>
      </c>
      <c r="FD26" s="56" t="str">
        <f t="shared" si="252"/>
        <v>#REF!</v>
      </c>
      <c r="FE26" s="56" t="str">
        <f t="shared" si="253"/>
        <v>#REF!</v>
      </c>
      <c r="FF26" s="56" t="str">
        <f t="shared" si="254"/>
        <v>#REF!</v>
      </c>
      <c r="FG26" s="56" t="str">
        <f t="shared" si="255"/>
        <v>#REF!</v>
      </c>
      <c r="FH26" s="56" t="str">
        <f t="shared" si="256"/>
        <v>#REF!</v>
      </c>
      <c r="FI26" s="56" t="str">
        <f t="shared" si="257"/>
        <v>#REF!</v>
      </c>
      <c r="FJ26" s="56" t="str">
        <f t="shared" si="258"/>
        <v>#REF!</v>
      </c>
      <c r="FK26" s="56" t="str">
        <f t="shared" si="259"/>
        <v>#REF!</v>
      </c>
      <c r="FL26" s="56" t="str">
        <f t="shared" si="260"/>
        <v>#REF!</v>
      </c>
      <c r="FM26" s="56" t="str">
        <f t="shared" si="261"/>
        <v>#REF!</v>
      </c>
      <c r="FN26" s="56" t="str">
        <f t="shared" si="262"/>
        <v>#REF!</v>
      </c>
      <c r="FO26" s="56" t="str">
        <f t="shared" si="263"/>
        <v>#REF!</v>
      </c>
    </row>
    <row r="27">
      <c r="A27" s="27"/>
      <c r="B27" s="26"/>
      <c r="C27" s="26"/>
      <c r="D27" s="26"/>
      <c r="E27" s="26"/>
      <c r="F27" s="26"/>
      <c r="G27" s="28"/>
      <c r="H27" s="26"/>
      <c r="I27" s="29"/>
      <c r="J27" s="26"/>
      <c r="K27" s="26"/>
      <c r="L27" s="90"/>
      <c r="M27" s="26"/>
      <c r="N27" s="27"/>
      <c r="O27" s="57" t="str">
        <f t="shared" si="141"/>
        <v/>
      </c>
      <c r="P27" s="57" t="str">
        <f t="shared" si="142"/>
        <v/>
      </c>
      <c r="Q27" s="57" t="str">
        <f t="shared" si="143"/>
        <v/>
      </c>
      <c r="R27" s="57" t="str">
        <f t="shared" si="144"/>
        <v/>
      </c>
      <c r="S27" s="57" t="str">
        <f t="shared" si="145"/>
        <v/>
      </c>
      <c r="T27" s="57" t="str">
        <f t="shared" si="146"/>
        <v/>
      </c>
      <c r="U27" s="57" t="str">
        <f t="shared" si="147"/>
        <v/>
      </c>
      <c r="V27" s="57" t="str">
        <f t="shared" si="148"/>
        <v/>
      </c>
      <c r="W27" s="57" t="str">
        <f t="shared" si="149"/>
        <v/>
      </c>
      <c r="X27" s="57" t="str">
        <f t="shared" si="150"/>
        <v/>
      </c>
      <c r="Y27" s="57" t="str">
        <f t="shared" si="151"/>
        <v/>
      </c>
      <c r="Z27" s="57" t="str">
        <f t="shared" si="152"/>
        <v/>
      </c>
      <c r="AA27" s="57" t="str">
        <f t="shared" si="153"/>
        <v/>
      </c>
      <c r="AB27" s="57" t="str">
        <f t="shared" si="154"/>
        <v/>
      </c>
      <c r="AC27" s="57" t="str">
        <f t="shared" si="155"/>
        <v/>
      </c>
      <c r="AD27" s="57" t="str">
        <f t="shared" si="156"/>
        <v/>
      </c>
      <c r="AE27" s="57" t="str">
        <f t="shared" si="157"/>
        <v/>
      </c>
      <c r="AF27" s="57" t="str">
        <f t="shared" si="158"/>
        <v/>
      </c>
      <c r="AG27" s="57" t="str">
        <f t="shared" si="159"/>
        <v/>
      </c>
      <c r="AH27" s="57" t="str">
        <f t="shared" si="160"/>
        <v/>
      </c>
      <c r="AI27" s="57" t="str">
        <f t="shared" si="161"/>
        <v/>
      </c>
      <c r="AJ27" s="57" t="str">
        <f t="shared" si="162"/>
        <v/>
      </c>
      <c r="AK27" s="57" t="str">
        <f t="shared" si="163"/>
        <v/>
      </c>
      <c r="AL27" s="57" t="str">
        <f t="shared" si="164"/>
        <v/>
      </c>
      <c r="AM27" s="27"/>
      <c r="AN27" s="26"/>
      <c r="AO27" s="26"/>
      <c r="AP27" s="26"/>
      <c r="AQ27" s="28"/>
      <c r="AR27" s="26"/>
      <c r="AS27" s="29"/>
      <c r="AT27" s="26"/>
      <c r="AU27" s="26"/>
      <c r="AV27" s="90"/>
      <c r="AW27" s="26"/>
      <c r="AX27" s="27"/>
      <c r="AY27" s="57" t="str">
        <f t="shared" si="166"/>
        <v/>
      </c>
      <c r="AZ27" s="57" t="str">
        <f t="shared" si="167"/>
        <v/>
      </c>
      <c r="BA27" s="57" t="str">
        <f t="shared" si="168"/>
        <v/>
      </c>
      <c r="BB27" s="57" t="str">
        <f t="shared" si="169"/>
        <v/>
      </c>
      <c r="BC27" s="57" t="str">
        <f t="shared" si="170"/>
        <v/>
      </c>
      <c r="BD27" s="57" t="str">
        <f t="shared" si="171"/>
        <v/>
      </c>
      <c r="BE27" s="57" t="str">
        <f t="shared" si="172"/>
        <v/>
      </c>
      <c r="BF27" s="57" t="str">
        <f t="shared" si="173"/>
        <v/>
      </c>
      <c r="BG27" s="57" t="str">
        <f t="shared" si="174"/>
        <v/>
      </c>
      <c r="BH27" s="57" t="str">
        <f t="shared" si="175"/>
        <v/>
      </c>
      <c r="BI27" s="57" t="str">
        <f t="shared" si="176"/>
        <v/>
      </c>
      <c r="BJ27" s="57" t="str">
        <f t="shared" si="177"/>
        <v/>
      </c>
      <c r="BK27" s="57" t="str">
        <f t="shared" si="178"/>
        <v/>
      </c>
      <c r="BL27" s="57" t="str">
        <f t="shared" si="179"/>
        <v/>
      </c>
      <c r="BM27" s="57" t="str">
        <f t="shared" si="180"/>
        <v/>
      </c>
      <c r="BN27" s="57" t="str">
        <f t="shared" si="181"/>
        <v/>
      </c>
      <c r="BO27" s="57" t="str">
        <f t="shared" si="182"/>
        <v/>
      </c>
      <c r="BP27" s="57" t="str">
        <f t="shared" si="183"/>
        <v/>
      </c>
      <c r="BQ27" s="57" t="str">
        <f t="shared" si="184"/>
        <v/>
      </c>
      <c r="BR27" s="57" t="str">
        <f t="shared" si="185"/>
        <v/>
      </c>
      <c r="BS27" s="57" t="str">
        <f t="shared" si="186"/>
        <v/>
      </c>
      <c r="BT27" s="57" t="str">
        <f t="shared" si="187"/>
        <v/>
      </c>
      <c r="BU27" s="57" t="str">
        <f t="shared" si="188"/>
        <v/>
      </c>
      <c r="BV27" s="57" t="str">
        <f t="shared" si="189"/>
        <v/>
      </c>
      <c r="BW27" s="27"/>
      <c r="BX27" s="26"/>
      <c r="BY27" s="26"/>
      <c r="BZ27" s="26"/>
      <c r="CA27" s="28"/>
      <c r="CB27" s="26"/>
      <c r="CC27" s="29"/>
      <c r="CD27" s="26"/>
      <c r="CE27" s="26"/>
      <c r="CF27" s="90"/>
      <c r="CG27" s="26"/>
      <c r="CH27" s="27"/>
      <c r="CI27" s="57" t="str">
        <f t="shared" si="191"/>
        <v/>
      </c>
      <c r="CJ27" s="57" t="str">
        <f t="shared" si="192"/>
        <v/>
      </c>
      <c r="CK27" s="57" t="str">
        <f t="shared" si="193"/>
        <v/>
      </c>
      <c r="CL27" s="57" t="str">
        <f t="shared" si="194"/>
        <v/>
      </c>
      <c r="CM27" s="57" t="str">
        <f t="shared" si="195"/>
        <v/>
      </c>
      <c r="CN27" s="57" t="str">
        <f t="shared" si="196"/>
        <v/>
      </c>
      <c r="CO27" s="57" t="str">
        <f t="shared" si="197"/>
        <v/>
      </c>
      <c r="CP27" s="57" t="str">
        <f t="shared" si="198"/>
        <v/>
      </c>
      <c r="CQ27" s="57" t="str">
        <f t="shared" si="199"/>
        <v/>
      </c>
      <c r="CR27" s="57" t="str">
        <f t="shared" si="200"/>
        <v/>
      </c>
      <c r="CS27" s="57" t="str">
        <f t="shared" si="201"/>
        <v/>
      </c>
      <c r="CT27" s="57" t="str">
        <f t="shared" si="202"/>
        <v/>
      </c>
      <c r="CU27" s="57" t="str">
        <f t="shared" si="203"/>
        <v/>
      </c>
      <c r="CV27" s="57" t="str">
        <f t="shared" si="204"/>
        <v/>
      </c>
      <c r="CW27" s="57" t="str">
        <f t="shared" si="205"/>
        <v/>
      </c>
      <c r="CX27" s="57" t="str">
        <f t="shared" si="206"/>
        <v/>
      </c>
      <c r="CY27" s="57" t="str">
        <f t="shared" si="207"/>
        <v/>
      </c>
      <c r="CZ27" s="57" t="str">
        <f t="shared" si="208"/>
        <v/>
      </c>
      <c r="DA27" s="57" t="str">
        <f t="shared" si="209"/>
        <v/>
      </c>
      <c r="DB27" s="57" t="str">
        <f t="shared" si="210"/>
        <v/>
      </c>
      <c r="DC27" s="57" t="str">
        <f t="shared" si="211"/>
        <v/>
      </c>
      <c r="DD27" s="57" t="str">
        <f t="shared" si="212"/>
        <v/>
      </c>
      <c r="DE27" s="57" t="str">
        <f t="shared" si="213"/>
        <v/>
      </c>
      <c r="DF27" s="57" t="str">
        <f t="shared" si="214"/>
        <v/>
      </c>
      <c r="DG27" s="27"/>
      <c r="DH27" s="26"/>
      <c r="DI27" s="26"/>
      <c r="DJ27" s="26"/>
      <c r="DK27" s="28"/>
      <c r="DL27" s="26"/>
      <c r="DM27" s="36"/>
      <c r="DN27" s="26"/>
      <c r="DO27" s="26"/>
      <c r="DP27" s="90"/>
      <c r="DQ27" s="26"/>
      <c r="DR27" s="27"/>
      <c r="DS27" s="27"/>
      <c r="DT27" s="57" t="str">
        <f t="shared" si="216"/>
        <v/>
      </c>
      <c r="DU27" s="57" t="str">
        <f t="shared" si="217"/>
        <v/>
      </c>
      <c r="DV27" s="57" t="str">
        <f t="shared" si="218"/>
        <v/>
      </c>
      <c r="DW27" s="57" t="str">
        <f t="shared" si="219"/>
        <v/>
      </c>
      <c r="DX27" s="57" t="str">
        <f t="shared" si="220"/>
        <v/>
      </c>
      <c r="DY27" s="57" t="str">
        <f t="shared" si="221"/>
        <v/>
      </c>
      <c r="DZ27" s="57" t="str">
        <f t="shared" si="222"/>
        <v/>
      </c>
      <c r="EA27" s="57" t="str">
        <f t="shared" si="223"/>
        <v/>
      </c>
      <c r="EB27" s="57" t="str">
        <f t="shared" si="224"/>
        <v/>
      </c>
      <c r="EC27" s="57" t="str">
        <f t="shared" si="225"/>
        <v/>
      </c>
      <c r="ED27" s="57" t="str">
        <f t="shared" si="226"/>
        <v/>
      </c>
      <c r="EE27" s="57" t="str">
        <f t="shared" si="227"/>
        <v/>
      </c>
      <c r="EF27" s="57" t="str">
        <f t="shared" si="228"/>
        <v/>
      </c>
      <c r="EG27" s="57" t="str">
        <f t="shared" si="229"/>
        <v/>
      </c>
      <c r="EH27" s="57" t="str">
        <f t="shared" si="230"/>
        <v/>
      </c>
      <c r="EI27" s="57" t="str">
        <f t="shared" si="231"/>
        <v/>
      </c>
      <c r="EJ27" s="57" t="str">
        <f t="shared" si="232"/>
        <v/>
      </c>
      <c r="EK27" s="57" t="str">
        <f t="shared" si="233"/>
        <v/>
      </c>
      <c r="EL27" s="57" t="str">
        <f t="shared" si="234"/>
        <v/>
      </c>
      <c r="EM27" s="57" t="str">
        <f t="shared" si="235"/>
        <v/>
      </c>
      <c r="EN27" s="57" t="str">
        <f t="shared" si="236"/>
        <v/>
      </c>
      <c r="EO27" s="57" t="str">
        <f t="shared" si="237"/>
        <v/>
      </c>
      <c r="EP27" s="57" t="str">
        <f t="shared" si="238"/>
        <v/>
      </c>
      <c r="EQ27" s="57" t="str">
        <f t="shared" si="239"/>
        <v/>
      </c>
      <c r="ER27" s="56" t="str">
        <f t="shared" si="240"/>
        <v>#REF!</v>
      </c>
      <c r="ES27" s="56" t="str">
        <f t="shared" si="241"/>
        <v>#REF!</v>
      </c>
      <c r="ET27" s="56" t="str">
        <f t="shared" si="242"/>
        <v>#REF!</v>
      </c>
      <c r="EU27" s="56" t="str">
        <f t="shared" si="243"/>
        <v>#REF!</v>
      </c>
      <c r="EV27" s="56" t="str">
        <f t="shared" si="244"/>
        <v>#REF!</v>
      </c>
      <c r="EW27" s="56" t="str">
        <f t="shared" si="245"/>
        <v>#REF!</v>
      </c>
      <c r="EX27" s="56" t="str">
        <f t="shared" si="246"/>
        <v>#REF!</v>
      </c>
      <c r="EY27" s="56" t="str">
        <f t="shared" si="247"/>
        <v>#REF!</v>
      </c>
      <c r="EZ27" s="56" t="str">
        <f t="shared" si="248"/>
        <v>#REF!</v>
      </c>
      <c r="FA27" s="56" t="str">
        <f t="shared" si="249"/>
        <v>#REF!</v>
      </c>
      <c r="FB27" s="56" t="str">
        <f t="shared" si="250"/>
        <v>#REF!</v>
      </c>
      <c r="FC27" s="56" t="str">
        <f t="shared" si="251"/>
        <v>#REF!</v>
      </c>
      <c r="FD27" s="56" t="str">
        <f t="shared" si="252"/>
        <v>#REF!</v>
      </c>
      <c r="FE27" s="56" t="str">
        <f t="shared" si="253"/>
        <v>#REF!</v>
      </c>
      <c r="FF27" s="56" t="str">
        <f t="shared" si="254"/>
        <v>#REF!</v>
      </c>
      <c r="FG27" s="56" t="str">
        <f t="shared" si="255"/>
        <v>#REF!</v>
      </c>
      <c r="FH27" s="56" t="str">
        <f t="shared" si="256"/>
        <v>#REF!</v>
      </c>
      <c r="FI27" s="56" t="str">
        <f t="shared" si="257"/>
        <v>#REF!</v>
      </c>
      <c r="FJ27" s="56" t="str">
        <f t="shared" si="258"/>
        <v>#REF!</v>
      </c>
      <c r="FK27" s="56" t="str">
        <f t="shared" si="259"/>
        <v>#REF!</v>
      </c>
      <c r="FL27" s="56" t="str">
        <f t="shared" si="260"/>
        <v>#REF!</v>
      </c>
      <c r="FM27" s="56" t="str">
        <f t="shared" si="261"/>
        <v>#REF!</v>
      </c>
      <c r="FN27" s="56" t="str">
        <f t="shared" si="262"/>
        <v>#REF!</v>
      </c>
      <c r="FO27" s="56" t="str">
        <f t="shared" si="263"/>
        <v>#REF!</v>
      </c>
    </row>
    <row r="28">
      <c r="A28" s="27"/>
      <c r="B28" s="26"/>
      <c r="C28" s="26"/>
      <c r="D28" s="37" t="s">
        <v>23</v>
      </c>
      <c r="E28" s="37" t="s">
        <v>24</v>
      </c>
      <c r="F28" s="38" t="s">
        <v>25</v>
      </c>
      <c r="G28" s="39" t="s">
        <v>26</v>
      </c>
      <c r="H28" s="40" t="s">
        <v>27</v>
      </c>
      <c r="I28" s="41" t="s">
        <v>28</v>
      </c>
      <c r="J28" s="37" t="s">
        <v>29</v>
      </c>
      <c r="K28" s="37" t="s">
        <v>30</v>
      </c>
      <c r="L28" s="92" t="s">
        <v>31</v>
      </c>
      <c r="M28" s="42" t="s">
        <v>32</v>
      </c>
      <c r="N28" s="27"/>
      <c r="O28" s="57" t="str">
        <f t="shared" si="141"/>
        <v/>
      </c>
      <c r="P28" s="57" t="str">
        <f t="shared" si="142"/>
        <v/>
      </c>
      <c r="Q28" s="57" t="str">
        <f t="shared" si="143"/>
        <v/>
      </c>
      <c r="R28" s="57" t="str">
        <f t="shared" si="144"/>
        <v/>
      </c>
      <c r="S28" s="57" t="str">
        <f t="shared" si="145"/>
        <v/>
      </c>
      <c r="T28" s="57" t="str">
        <f t="shared" si="146"/>
        <v/>
      </c>
      <c r="U28" s="57" t="str">
        <f t="shared" si="147"/>
        <v/>
      </c>
      <c r="V28" s="57" t="str">
        <f t="shared" si="148"/>
        <v/>
      </c>
      <c r="W28" s="57" t="str">
        <f t="shared" si="149"/>
        <v/>
      </c>
      <c r="X28" s="57" t="str">
        <f t="shared" si="150"/>
        <v/>
      </c>
      <c r="Y28" s="57" t="str">
        <f t="shared" si="151"/>
        <v/>
      </c>
      <c r="Z28" s="57" t="str">
        <f t="shared" si="152"/>
        <v/>
      </c>
      <c r="AA28" s="57" t="str">
        <f t="shared" si="153"/>
        <v/>
      </c>
      <c r="AB28" s="57" t="str">
        <f t="shared" si="154"/>
        <v/>
      </c>
      <c r="AC28" s="57" t="str">
        <f t="shared" si="155"/>
        <v/>
      </c>
      <c r="AD28" s="57" t="str">
        <f t="shared" si="156"/>
        <v/>
      </c>
      <c r="AE28" s="57" t="str">
        <f t="shared" si="157"/>
        <v/>
      </c>
      <c r="AF28" s="57" t="str">
        <f t="shared" si="158"/>
        <v/>
      </c>
      <c r="AG28" s="57" t="str">
        <f t="shared" si="159"/>
        <v/>
      </c>
      <c r="AH28" s="57" t="str">
        <f t="shared" si="160"/>
        <v/>
      </c>
      <c r="AI28" s="57" t="str">
        <f t="shared" si="161"/>
        <v/>
      </c>
      <c r="AJ28" s="57" t="str">
        <f t="shared" si="162"/>
        <v/>
      </c>
      <c r="AK28" s="57" t="str">
        <f t="shared" si="163"/>
        <v/>
      </c>
      <c r="AL28" s="57" t="str">
        <f t="shared" si="164"/>
        <v/>
      </c>
      <c r="AM28" s="27"/>
      <c r="AN28" s="37" t="s">
        <v>23</v>
      </c>
      <c r="AO28" s="37" t="s">
        <v>24</v>
      </c>
      <c r="AP28" s="38" t="s">
        <v>25</v>
      </c>
      <c r="AQ28" s="39" t="s">
        <v>26</v>
      </c>
      <c r="AR28" s="40" t="s">
        <v>27</v>
      </c>
      <c r="AS28" s="41" t="s">
        <v>28</v>
      </c>
      <c r="AT28" s="37" t="s">
        <v>29</v>
      </c>
      <c r="AU28" s="37" t="s">
        <v>30</v>
      </c>
      <c r="AV28" s="92" t="s">
        <v>31</v>
      </c>
      <c r="AW28" s="42" t="s">
        <v>32</v>
      </c>
      <c r="AX28" s="27"/>
      <c r="AY28" s="57" t="str">
        <f t="shared" si="166"/>
        <v/>
      </c>
      <c r="AZ28" s="57" t="str">
        <f t="shared" si="167"/>
        <v/>
      </c>
      <c r="BA28" s="57" t="str">
        <f t="shared" si="168"/>
        <v/>
      </c>
      <c r="BB28" s="57" t="str">
        <f t="shared" si="169"/>
        <v/>
      </c>
      <c r="BC28" s="57" t="str">
        <f t="shared" si="170"/>
        <v/>
      </c>
      <c r="BD28" s="57" t="str">
        <f t="shared" si="171"/>
        <v/>
      </c>
      <c r="BE28" s="57" t="str">
        <f t="shared" si="172"/>
        <v/>
      </c>
      <c r="BF28" s="57" t="str">
        <f t="shared" si="173"/>
        <v/>
      </c>
      <c r="BG28" s="57" t="str">
        <f t="shared" si="174"/>
        <v/>
      </c>
      <c r="BH28" s="57" t="str">
        <f t="shared" si="175"/>
        <v/>
      </c>
      <c r="BI28" s="57" t="str">
        <f t="shared" si="176"/>
        <v/>
      </c>
      <c r="BJ28" s="57" t="str">
        <f t="shared" si="177"/>
        <v/>
      </c>
      <c r="BK28" s="57" t="str">
        <f t="shared" si="178"/>
        <v/>
      </c>
      <c r="BL28" s="57" t="str">
        <f t="shared" si="179"/>
        <v/>
      </c>
      <c r="BM28" s="57" t="str">
        <f t="shared" si="180"/>
        <v/>
      </c>
      <c r="BN28" s="57" t="str">
        <f t="shared" si="181"/>
        <v/>
      </c>
      <c r="BO28" s="57" t="str">
        <f t="shared" si="182"/>
        <v/>
      </c>
      <c r="BP28" s="57" t="str">
        <f t="shared" si="183"/>
        <v/>
      </c>
      <c r="BQ28" s="57" t="str">
        <f t="shared" si="184"/>
        <v/>
      </c>
      <c r="BR28" s="57" t="str">
        <f t="shared" si="185"/>
        <v/>
      </c>
      <c r="BS28" s="57" t="str">
        <f t="shared" si="186"/>
        <v/>
      </c>
      <c r="BT28" s="57" t="str">
        <f t="shared" si="187"/>
        <v/>
      </c>
      <c r="BU28" s="57" t="str">
        <f t="shared" si="188"/>
        <v/>
      </c>
      <c r="BV28" s="57" t="str">
        <f t="shared" si="189"/>
        <v/>
      </c>
      <c r="BW28" s="27"/>
      <c r="BX28" s="37" t="s">
        <v>23</v>
      </c>
      <c r="BY28" s="37" t="s">
        <v>24</v>
      </c>
      <c r="BZ28" s="38" t="s">
        <v>25</v>
      </c>
      <c r="CA28" s="39" t="s">
        <v>26</v>
      </c>
      <c r="CB28" s="40" t="s">
        <v>27</v>
      </c>
      <c r="CC28" s="41" t="s">
        <v>28</v>
      </c>
      <c r="CD28" s="37" t="s">
        <v>29</v>
      </c>
      <c r="CE28" s="37" t="s">
        <v>30</v>
      </c>
      <c r="CF28" s="92" t="s">
        <v>31</v>
      </c>
      <c r="CG28" s="42" t="s">
        <v>32</v>
      </c>
      <c r="CH28" s="27"/>
      <c r="CI28" s="57" t="str">
        <f t="shared" si="191"/>
        <v/>
      </c>
      <c r="CJ28" s="57" t="str">
        <f t="shared" si="192"/>
        <v/>
      </c>
      <c r="CK28" s="57" t="str">
        <f t="shared" si="193"/>
        <v/>
      </c>
      <c r="CL28" s="57" t="str">
        <f t="shared" si="194"/>
        <v/>
      </c>
      <c r="CM28" s="57" t="str">
        <f t="shared" si="195"/>
        <v/>
      </c>
      <c r="CN28" s="57" t="str">
        <f t="shared" si="196"/>
        <v/>
      </c>
      <c r="CO28" s="57" t="str">
        <f t="shared" si="197"/>
        <v/>
      </c>
      <c r="CP28" s="57" t="str">
        <f t="shared" si="198"/>
        <v/>
      </c>
      <c r="CQ28" s="57" t="str">
        <f t="shared" si="199"/>
        <v/>
      </c>
      <c r="CR28" s="57" t="str">
        <f t="shared" si="200"/>
        <v/>
      </c>
      <c r="CS28" s="57" t="str">
        <f t="shared" si="201"/>
        <v/>
      </c>
      <c r="CT28" s="57" t="str">
        <f t="shared" si="202"/>
        <v/>
      </c>
      <c r="CU28" s="57" t="str">
        <f t="shared" si="203"/>
        <v/>
      </c>
      <c r="CV28" s="57" t="str">
        <f t="shared" si="204"/>
        <v/>
      </c>
      <c r="CW28" s="57" t="str">
        <f t="shared" si="205"/>
        <v/>
      </c>
      <c r="CX28" s="57" t="str">
        <f t="shared" si="206"/>
        <v/>
      </c>
      <c r="CY28" s="57" t="str">
        <f t="shared" si="207"/>
        <v/>
      </c>
      <c r="CZ28" s="57" t="str">
        <f t="shared" si="208"/>
        <v/>
      </c>
      <c r="DA28" s="57" t="str">
        <f t="shared" si="209"/>
        <v/>
      </c>
      <c r="DB28" s="57" t="str">
        <f t="shared" si="210"/>
        <v/>
      </c>
      <c r="DC28" s="57" t="str">
        <f t="shared" si="211"/>
        <v/>
      </c>
      <c r="DD28" s="57" t="str">
        <f t="shared" si="212"/>
        <v/>
      </c>
      <c r="DE28" s="57" t="str">
        <f t="shared" si="213"/>
        <v/>
      </c>
      <c r="DF28" s="57" t="str">
        <f t="shared" si="214"/>
        <v/>
      </c>
      <c r="DG28" s="27"/>
      <c r="DH28" s="37" t="s">
        <v>23</v>
      </c>
      <c r="DI28" s="37" t="s">
        <v>24</v>
      </c>
      <c r="DJ28" s="38" t="s">
        <v>25</v>
      </c>
      <c r="DK28" s="39" t="s">
        <v>26</v>
      </c>
      <c r="DL28" s="40" t="s">
        <v>27</v>
      </c>
      <c r="DM28" s="44" t="s">
        <v>28</v>
      </c>
      <c r="DN28" s="37" t="s">
        <v>29</v>
      </c>
      <c r="DO28" s="37" t="s">
        <v>30</v>
      </c>
      <c r="DP28" s="92" t="s">
        <v>31</v>
      </c>
      <c r="DQ28" s="42" t="s">
        <v>32</v>
      </c>
      <c r="DR28" s="27"/>
      <c r="DS28" s="27"/>
      <c r="DT28" s="57" t="str">
        <f t="shared" si="216"/>
        <v/>
      </c>
      <c r="DU28" s="57" t="str">
        <f t="shared" si="217"/>
        <v/>
      </c>
      <c r="DV28" s="57" t="str">
        <f t="shared" si="218"/>
        <v/>
      </c>
      <c r="DW28" s="57" t="str">
        <f t="shared" si="219"/>
        <v/>
      </c>
      <c r="DX28" s="57" t="str">
        <f t="shared" si="220"/>
        <v/>
      </c>
      <c r="DY28" s="57" t="str">
        <f t="shared" si="221"/>
        <v/>
      </c>
      <c r="DZ28" s="57" t="str">
        <f t="shared" si="222"/>
        <v/>
      </c>
      <c r="EA28" s="57" t="str">
        <f t="shared" si="223"/>
        <v/>
      </c>
      <c r="EB28" s="57" t="str">
        <f t="shared" si="224"/>
        <v/>
      </c>
      <c r="EC28" s="57" t="str">
        <f t="shared" si="225"/>
        <v/>
      </c>
      <c r="ED28" s="57" t="str">
        <f t="shared" si="226"/>
        <v/>
      </c>
      <c r="EE28" s="57" t="str">
        <f t="shared" si="227"/>
        <v/>
      </c>
      <c r="EF28" s="57" t="str">
        <f t="shared" si="228"/>
        <v/>
      </c>
      <c r="EG28" s="57" t="str">
        <f t="shared" si="229"/>
        <v/>
      </c>
      <c r="EH28" s="57" t="str">
        <f t="shared" si="230"/>
        <v/>
      </c>
      <c r="EI28" s="57" t="str">
        <f t="shared" si="231"/>
        <v/>
      </c>
      <c r="EJ28" s="57" t="str">
        <f t="shared" si="232"/>
        <v/>
      </c>
      <c r="EK28" s="57" t="str">
        <f t="shared" si="233"/>
        <v/>
      </c>
      <c r="EL28" s="57" t="str">
        <f t="shared" si="234"/>
        <v/>
      </c>
      <c r="EM28" s="57" t="str">
        <f t="shared" si="235"/>
        <v/>
      </c>
      <c r="EN28" s="57" t="str">
        <f t="shared" si="236"/>
        <v/>
      </c>
      <c r="EO28" s="57" t="str">
        <f t="shared" si="237"/>
        <v/>
      </c>
      <c r="EP28" s="57" t="str">
        <f t="shared" si="238"/>
        <v/>
      </c>
      <c r="EQ28" s="57" t="str">
        <f t="shared" si="239"/>
        <v/>
      </c>
      <c r="ER28" s="56" t="str">
        <f t="shared" si="240"/>
        <v>#REF!</v>
      </c>
      <c r="ES28" s="56" t="str">
        <f t="shared" si="241"/>
        <v>#REF!</v>
      </c>
      <c r="ET28" s="56" t="str">
        <f t="shared" si="242"/>
        <v>#REF!</v>
      </c>
      <c r="EU28" s="56" t="str">
        <f t="shared" si="243"/>
        <v>#REF!</v>
      </c>
      <c r="EV28" s="56" t="str">
        <f t="shared" si="244"/>
        <v>#REF!</v>
      </c>
      <c r="EW28" s="56" t="str">
        <f t="shared" si="245"/>
        <v>#REF!</v>
      </c>
      <c r="EX28" s="56" t="str">
        <f t="shared" si="246"/>
        <v>#REF!</v>
      </c>
      <c r="EY28" s="56" t="str">
        <f t="shared" si="247"/>
        <v>#REF!</v>
      </c>
      <c r="EZ28" s="56" t="str">
        <f t="shared" si="248"/>
        <v>#REF!</v>
      </c>
      <c r="FA28" s="56" t="str">
        <f t="shared" si="249"/>
        <v>#REF!</v>
      </c>
      <c r="FB28" s="56" t="str">
        <f t="shared" si="250"/>
        <v>#REF!</v>
      </c>
      <c r="FC28" s="56" t="str">
        <f t="shared" si="251"/>
        <v>#REF!</v>
      </c>
      <c r="FD28" s="56" t="str">
        <f t="shared" si="252"/>
        <v>#REF!</v>
      </c>
      <c r="FE28" s="56" t="str">
        <f t="shared" si="253"/>
        <v>#REF!</v>
      </c>
      <c r="FF28" s="56" t="str">
        <f t="shared" si="254"/>
        <v>#REF!</v>
      </c>
      <c r="FG28" s="56" t="str">
        <f t="shared" si="255"/>
        <v>#REF!</v>
      </c>
      <c r="FH28" s="56" t="str">
        <f t="shared" si="256"/>
        <v>#REF!</v>
      </c>
      <c r="FI28" s="56" t="str">
        <f t="shared" si="257"/>
        <v>#REF!</v>
      </c>
      <c r="FJ28" s="56" t="str">
        <f t="shared" si="258"/>
        <v>#REF!</v>
      </c>
      <c r="FK28" s="56" t="str">
        <f t="shared" si="259"/>
        <v>#REF!</v>
      </c>
      <c r="FL28" s="56" t="str">
        <f t="shared" si="260"/>
        <v>#REF!</v>
      </c>
      <c r="FM28" s="56" t="str">
        <f t="shared" si="261"/>
        <v>#REF!</v>
      </c>
      <c r="FN28" s="56" t="str">
        <f t="shared" si="262"/>
        <v>#REF!</v>
      </c>
      <c r="FO28" s="56" t="str">
        <f t="shared" si="263"/>
        <v>#REF!</v>
      </c>
    </row>
    <row r="29">
      <c r="A29" s="27"/>
      <c r="B29" s="45" t="s">
        <v>57</v>
      </c>
      <c r="C29" s="46"/>
      <c r="D29" s="47" t="str">
        <f t="shared" ref="D29:H29" si="276">D20</f>
        <v>Squat</v>
      </c>
      <c r="E29" s="48" t="str">
        <f t="shared" si="276"/>
        <v/>
      </c>
      <c r="F29" s="49" t="str">
        <f t="shared" si="276"/>
        <v>Squat 4/1/0</v>
      </c>
      <c r="G29" s="50">
        <f t="shared" si="276"/>
        <v>2</v>
      </c>
      <c r="H29" s="51">
        <f t="shared" si="276"/>
        <v>5</v>
      </c>
      <c r="I29" s="52">
        <v>73.0</v>
      </c>
      <c r="J29" s="53">
        <f>IF(D29="Squat",IF(I29&gt;10,MROUND((I29/100*SQMAX),2.5)," "),IF(D29="Bench",IF(I29&gt;10,MROUND((I29/100*BNMAX),2.5)," "),IF(D29="Deadlift",IF(I29&gt;10,MROUND((I29/100*DLMAX),2.5)," ")," ")))</f>
        <v>145</v>
      </c>
      <c r="K29" s="26"/>
      <c r="L29" s="54" t="str">
        <f>IFERROR((J29/VLOOKUP(K29,'RPE vs. %'!$D$3:$P$11,H29+1,FALSE)),"")</f>
        <v/>
      </c>
      <c r="M29" s="55" t="s">
        <v>37</v>
      </c>
      <c r="N29" s="27"/>
      <c r="O29" s="91">
        <f t="shared" ref="O29:AL29" si="277">SUM(O22:O28)</f>
        <v>3</v>
      </c>
      <c r="P29" s="91">
        <f t="shared" si="277"/>
        <v>2150</v>
      </c>
      <c r="Q29" s="91">
        <f t="shared" si="277"/>
        <v>3</v>
      </c>
      <c r="R29" s="91">
        <f t="shared" si="277"/>
        <v>2460</v>
      </c>
      <c r="S29" s="91">
        <f t="shared" si="277"/>
        <v>0</v>
      </c>
      <c r="T29" s="91">
        <f t="shared" si="277"/>
        <v>0</v>
      </c>
      <c r="U29" s="91">
        <f t="shared" si="277"/>
        <v>0</v>
      </c>
      <c r="V29" s="91">
        <f t="shared" si="277"/>
        <v>0</v>
      </c>
      <c r="W29" s="91">
        <f t="shared" si="277"/>
        <v>0</v>
      </c>
      <c r="X29" s="91">
        <f t="shared" si="277"/>
        <v>0</v>
      </c>
      <c r="Y29" s="91">
        <f t="shared" si="277"/>
        <v>0</v>
      </c>
      <c r="Z29" s="91">
        <f t="shared" si="277"/>
        <v>0</v>
      </c>
      <c r="AA29" s="91">
        <f t="shared" si="277"/>
        <v>0</v>
      </c>
      <c r="AB29" s="91">
        <f t="shared" si="277"/>
        <v>0</v>
      </c>
      <c r="AC29" s="91">
        <f t="shared" si="277"/>
        <v>0</v>
      </c>
      <c r="AD29" s="91">
        <f t="shared" si="277"/>
        <v>0</v>
      </c>
      <c r="AE29" s="91">
        <f t="shared" si="277"/>
        <v>0</v>
      </c>
      <c r="AF29" s="91">
        <f t="shared" si="277"/>
        <v>0</v>
      </c>
      <c r="AG29" s="91">
        <f t="shared" si="277"/>
        <v>0</v>
      </c>
      <c r="AH29" s="91">
        <f t="shared" si="277"/>
        <v>0</v>
      </c>
      <c r="AI29" s="91">
        <f t="shared" si="277"/>
        <v>0</v>
      </c>
      <c r="AJ29" s="91">
        <f t="shared" si="277"/>
        <v>0</v>
      </c>
      <c r="AK29" s="91">
        <f t="shared" si="277"/>
        <v>0</v>
      </c>
      <c r="AL29" s="91">
        <f t="shared" si="277"/>
        <v>0</v>
      </c>
      <c r="AM29" s="27"/>
      <c r="AN29" s="58" t="str">
        <f t="shared" ref="AN29:AR29" si="278">AN20</f>
        <v>Deadlift</v>
      </c>
      <c r="AO29" s="59" t="str">
        <f t="shared" si="278"/>
        <v/>
      </c>
      <c r="AP29" s="60" t="str">
        <f t="shared" si="278"/>
        <v>Deadlift</v>
      </c>
      <c r="AQ29" s="61">
        <f t="shared" si="278"/>
        <v>3</v>
      </c>
      <c r="AR29" s="62">
        <f t="shared" si="278"/>
        <v>3</v>
      </c>
      <c r="AS29" s="111">
        <f t="shared" ref="AS29:AS31" si="286">AS20+3</f>
        <v>86</v>
      </c>
      <c r="AT29" s="32">
        <f>IF(AN29="Squat",IF(AS29&gt;10,MROUND((AS29/100*SQMAX),2.5)," "),IF(AN29="Bench",IF(AS29&gt;10,MROUND((AS29/100*BNMAX),2.5)," "),IF(AN29="Deadlift",IF(AS29&gt;10,MROUND((AS29/100*DLMAX),2.5)," ")," ")))</f>
        <v>215</v>
      </c>
      <c r="AU29" s="26"/>
      <c r="AV29" s="54" t="str">
        <f>IFERROR((AT29/VLOOKUP(AU29,'RPE vs. %'!$D$3:$P$11,AR29+1,FALSE)),"")</f>
        <v/>
      </c>
      <c r="AW29" s="55" t="s">
        <v>37</v>
      </c>
      <c r="AX29" s="27"/>
      <c r="AY29" s="91">
        <f t="shared" ref="AY29:BV29" si="279">SUM(AY22:AY28)</f>
        <v>0</v>
      </c>
      <c r="AZ29" s="91">
        <f t="shared" si="279"/>
        <v>0</v>
      </c>
      <c r="BA29" s="91">
        <f t="shared" si="279"/>
        <v>3</v>
      </c>
      <c r="BB29" s="91">
        <f t="shared" si="279"/>
        <v>1425</v>
      </c>
      <c r="BC29" s="91">
        <f t="shared" si="279"/>
        <v>5</v>
      </c>
      <c r="BD29" s="91">
        <f t="shared" si="279"/>
        <v>3442.5</v>
      </c>
      <c r="BE29" s="91">
        <f t="shared" si="279"/>
        <v>0</v>
      </c>
      <c r="BF29" s="91">
        <f t="shared" si="279"/>
        <v>0</v>
      </c>
      <c r="BG29" s="91">
        <f t="shared" si="279"/>
        <v>0</v>
      </c>
      <c r="BH29" s="91">
        <f t="shared" si="279"/>
        <v>0</v>
      </c>
      <c r="BI29" s="91">
        <f t="shared" si="279"/>
        <v>0</v>
      </c>
      <c r="BJ29" s="91">
        <f t="shared" si="279"/>
        <v>0</v>
      </c>
      <c r="BK29" s="91">
        <f t="shared" si="279"/>
        <v>0</v>
      </c>
      <c r="BL29" s="91">
        <f t="shared" si="279"/>
        <v>0</v>
      </c>
      <c r="BM29" s="91">
        <f t="shared" si="279"/>
        <v>0</v>
      </c>
      <c r="BN29" s="91">
        <f t="shared" si="279"/>
        <v>0</v>
      </c>
      <c r="BO29" s="91">
        <f t="shared" si="279"/>
        <v>0</v>
      </c>
      <c r="BP29" s="91">
        <f t="shared" si="279"/>
        <v>0</v>
      </c>
      <c r="BQ29" s="91">
        <f t="shared" si="279"/>
        <v>0</v>
      </c>
      <c r="BR29" s="91">
        <f t="shared" si="279"/>
        <v>0</v>
      </c>
      <c r="BS29" s="91">
        <f t="shared" si="279"/>
        <v>0</v>
      </c>
      <c r="BT29" s="91">
        <f t="shared" si="279"/>
        <v>0</v>
      </c>
      <c r="BU29" s="91">
        <f t="shared" si="279"/>
        <v>0</v>
      </c>
      <c r="BV29" s="91">
        <f t="shared" si="279"/>
        <v>0</v>
      </c>
      <c r="BW29" s="27"/>
      <c r="BX29" s="47" t="str">
        <f t="shared" ref="BX29:CB29" si="280">BX20</f>
        <v>Squat</v>
      </c>
      <c r="BY29" s="48" t="str">
        <f t="shared" si="280"/>
        <v/>
      </c>
      <c r="BZ29" s="49" t="str">
        <f t="shared" si="280"/>
        <v>Squat pause</v>
      </c>
      <c r="CA29" s="50">
        <f t="shared" si="280"/>
        <v>3</v>
      </c>
      <c r="CB29" s="51">
        <f t="shared" si="280"/>
        <v>5</v>
      </c>
      <c r="CC29" s="112">
        <f>CC20+4</f>
        <v>72</v>
      </c>
      <c r="CD29" s="53">
        <f>IF(BX29="Squat",IF(CC29&gt;10,MROUND((CC29/100*SQMAX),2.5)," "),IF(BX29="Bench",IF(CC29&gt;10,MROUND((CC29/100*BNMAX),2.5)," "),IF(BX29="Deadlift",IF(CC29&gt;10,MROUND((CC29/100*DLMAX),2.5)," ")," ")))</f>
        <v>145</v>
      </c>
      <c r="CE29" s="26"/>
      <c r="CF29" s="54" t="str">
        <f>IFERROR((CD29/VLOOKUP(CE29,'RPE vs. %'!$D$3:$P$11,CB29+1,FALSE)),"")</f>
        <v/>
      </c>
      <c r="CG29" s="55" t="s">
        <v>37</v>
      </c>
      <c r="CH29" s="27"/>
      <c r="CI29" s="91">
        <f t="shared" ref="CI29:DF29" si="281">SUM(CI22:CI28)</f>
        <v>3</v>
      </c>
      <c r="CJ29" s="91">
        <f t="shared" si="281"/>
        <v>2025</v>
      </c>
      <c r="CK29" s="91">
        <f t="shared" si="281"/>
        <v>6</v>
      </c>
      <c r="CL29" s="91">
        <f t="shared" si="281"/>
        <v>1680</v>
      </c>
      <c r="CM29" s="91">
        <f t="shared" si="281"/>
        <v>0</v>
      </c>
      <c r="CN29" s="91">
        <f t="shared" si="281"/>
        <v>0</v>
      </c>
      <c r="CO29" s="91">
        <f t="shared" si="281"/>
        <v>0</v>
      </c>
      <c r="CP29" s="91">
        <f t="shared" si="281"/>
        <v>0</v>
      </c>
      <c r="CQ29" s="91">
        <f t="shared" si="281"/>
        <v>0</v>
      </c>
      <c r="CR29" s="91">
        <f t="shared" si="281"/>
        <v>0</v>
      </c>
      <c r="CS29" s="91">
        <f t="shared" si="281"/>
        <v>0</v>
      </c>
      <c r="CT29" s="91">
        <f t="shared" si="281"/>
        <v>0</v>
      </c>
      <c r="CU29" s="91">
        <f t="shared" si="281"/>
        <v>0</v>
      </c>
      <c r="CV29" s="91">
        <f t="shared" si="281"/>
        <v>0</v>
      </c>
      <c r="CW29" s="91">
        <f t="shared" si="281"/>
        <v>0</v>
      </c>
      <c r="CX29" s="91">
        <f t="shared" si="281"/>
        <v>0</v>
      </c>
      <c r="CY29" s="91">
        <f t="shared" si="281"/>
        <v>0</v>
      </c>
      <c r="CZ29" s="91">
        <f t="shared" si="281"/>
        <v>0</v>
      </c>
      <c r="DA29" s="91">
        <f t="shared" si="281"/>
        <v>0</v>
      </c>
      <c r="DB29" s="91">
        <f t="shared" si="281"/>
        <v>0</v>
      </c>
      <c r="DC29" s="91">
        <f t="shared" si="281"/>
        <v>0</v>
      </c>
      <c r="DD29" s="91">
        <f t="shared" si="281"/>
        <v>0</v>
      </c>
      <c r="DE29" s="91">
        <f t="shared" si="281"/>
        <v>0</v>
      </c>
      <c r="DF29" s="91">
        <f t="shared" si="281"/>
        <v>0</v>
      </c>
      <c r="DG29" s="27"/>
      <c r="DH29" s="47" t="str">
        <f t="shared" ref="DH29:DL29" si="282">DH20</f>
        <v>Squat</v>
      </c>
      <c r="DI29" s="48" t="str">
        <f t="shared" si="282"/>
        <v/>
      </c>
      <c r="DJ29" s="49" t="str">
        <f t="shared" si="282"/>
        <v>Squat</v>
      </c>
      <c r="DK29" s="50">
        <f t="shared" si="282"/>
        <v>3</v>
      </c>
      <c r="DL29" s="51">
        <f t="shared" si="282"/>
        <v>3</v>
      </c>
      <c r="DM29" s="113">
        <f t="shared" ref="DM29:DM31" si="289">DM20+3</f>
        <v>88</v>
      </c>
      <c r="DN29" s="53">
        <f>IF(DH29="Squat",IF(DM29&gt;10,MROUND((DM29/100*SQMAX),2.5)," "),IF(DH29="Bench",IF(DM29&gt;10,MROUND((DM29/100*BNMAX),2.5)," "),IF(DH29="Deadlift",IF(DM29&gt;10,MROUND((DM29/100*DLMAX),2.5)," ")," ")))</f>
        <v>175</v>
      </c>
      <c r="DO29" s="26"/>
      <c r="DP29" s="54" t="str">
        <f>IFERROR((DN29/VLOOKUP(DO29,'RPE vs. %'!$D$3:$P$11,DL29+1,FALSE)),"")</f>
        <v/>
      </c>
      <c r="DQ29" s="55" t="s">
        <v>37</v>
      </c>
      <c r="DR29" s="27"/>
      <c r="DS29" s="27"/>
      <c r="DT29" s="91">
        <f t="shared" ref="DT29:FO29" si="283">SUM(DT22:DT28)</f>
        <v>3</v>
      </c>
      <c r="DU29" s="91">
        <f t="shared" si="283"/>
        <v>1530</v>
      </c>
      <c r="DV29" s="91">
        <f t="shared" si="283"/>
        <v>3</v>
      </c>
      <c r="DW29" s="91">
        <f t="shared" si="283"/>
        <v>1080</v>
      </c>
      <c r="DX29" s="91">
        <f t="shared" si="283"/>
        <v>3</v>
      </c>
      <c r="DY29" s="91">
        <f t="shared" si="283"/>
        <v>1912.5</v>
      </c>
      <c r="DZ29" s="91">
        <f t="shared" si="283"/>
        <v>0</v>
      </c>
      <c r="EA29" s="91">
        <f t="shared" si="283"/>
        <v>0</v>
      </c>
      <c r="EB29" s="91">
        <f t="shared" si="283"/>
        <v>0</v>
      </c>
      <c r="EC29" s="91">
        <f t="shared" si="283"/>
        <v>0</v>
      </c>
      <c r="ED29" s="91">
        <f t="shared" si="283"/>
        <v>0</v>
      </c>
      <c r="EE29" s="91">
        <f t="shared" si="283"/>
        <v>0</v>
      </c>
      <c r="EF29" s="91">
        <f t="shared" si="283"/>
        <v>0</v>
      </c>
      <c r="EG29" s="91">
        <f t="shared" si="283"/>
        <v>0</v>
      </c>
      <c r="EH29" s="91">
        <f t="shared" si="283"/>
        <v>0</v>
      </c>
      <c r="EI29" s="91">
        <f t="shared" si="283"/>
        <v>0</v>
      </c>
      <c r="EJ29" s="91">
        <f t="shared" si="283"/>
        <v>0</v>
      </c>
      <c r="EK29" s="91">
        <f t="shared" si="283"/>
        <v>0</v>
      </c>
      <c r="EL29" s="91">
        <f t="shared" si="283"/>
        <v>0</v>
      </c>
      <c r="EM29" s="91">
        <f t="shared" si="283"/>
        <v>0</v>
      </c>
      <c r="EN29" s="91">
        <f t="shared" si="283"/>
        <v>0</v>
      </c>
      <c r="EO29" s="91">
        <f t="shared" si="283"/>
        <v>0</v>
      </c>
      <c r="EP29" s="91">
        <f t="shared" si="283"/>
        <v>0</v>
      </c>
      <c r="EQ29" s="91">
        <f t="shared" si="283"/>
        <v>0</v>
      </c>
      <c r="ER29" s="91" t="str">
        <f t="shared" si="283"/>
        <v>#REF!</v>
      </c>
      <c r="ES29" s="91" t="str">
        <f t="shared" si="283"/>
        <v>#REF!</v>
      </c>
      <c r="ET29" s="91" t="str">
        <f t="shared" si="283"/>
        <v>#REF!</v>
      </c>
      <c r="EU29" s="91" t="str">
        <f t="shared" si="283"/>
        <v>#REF!</v>
      </c>
      <c r="EV29" s="91" t="str">
        <f t="shared" si="283"/>
        <v>#REF!</v>
      </c>
      <c r="EW29" s="91" t="str">
        <f t="shared" si="283"/>
        <v>#REF!</v>
      </c>
      <c r="EX29" s="91" t="str">
        <f t="shared" si="283"/>
        <v>#REF!</v>
      </c>
      <c r="EY29" s="91" t="str">
        <f t="shared" si="283"/>
        <v>#REF!</v>
      </c>
      <c r="EZ29" s="91" t="str">
        <f t="shared" si="283"/>
        <v>#REF!</v>
      </c>
      <c r="FA29" s="91" t="str">
        <f t="shared" si="283"/>
        <v>#REF!</v>
      </c>
      <c r="FB29" s="91" t="str">
        <f t="shared" si="283"/>
        <v>#REF!</v>
      </c>
      <c r="FC29" s="91" t="str">
        <f t="shared" si="283"/>
        <v>#REF!</v>
      </c>
      <c r="FD29" s="91" t="str">
        <f t="shared" si="283"/>
        <v>#REF!</v>
      </c>
      <c r="FE29" s="91" t="str">
        <f t="shared" si="283"/>
        <v>#REF!</v>
      </c>
      <c r="FF29" s="91" t="str">
        <f t="shared" si="283"/>
        <v>#REF!</v>
      </c>
      <c r="FG29" s="91" t="str">
        <f t="shared" si="283"/>
        <v>#REF!</v>
      </c>
      <c r="FH29" s="91" t="str">
        <f t="shared" si="283"/>
        <v>#REF!</v>
      </c>
      <c r="FI29" s="91" t="str">
        <f t="shared" si="283"/>
        <v>#REF!</v>
      </c>
      <c r="FJ29" s="91" t="str">
        <f t="shared" si="283"/>
        <v>#REF!</v>
      </c>
      <c r="FK29" s="91" t="str">
        <f t="shared" si="283"/>
        <v>#REF!</v>
      </c>
      <c r="FL29" s="91" t="str">
        <f t="shared" si="283"/>
        <v>#REF!</v>
      </c>
      <c r="FM29" s="91" t="str">
        <f t="shared" si="283"/>
        <v>#REF!</v>
      </c>
      <c r="FN29" s="91" t="str">
        <f t="shared" si="283"/>
        <v>#REF!</v>
      </c>
      <c r="FO29" s="91" t="str">
        <f t="shared" si="283"/>
        <v>#REF!</v>
      </c>
    </row>
    <row r="30">
      <c r="A30" s="27"/>
      <c r="C30" s="46"/>
      <c r="D30" s="47" t="str">
        <f t="shared" ref="D30:H30" si="284">D21</f>
        <v>Squat</v>
      </c>
      <c r="E30" s="48" t="str">
        <f t="shared" si="284"/>
        <v/>
      </c>
      <c r="F30" s="49" t="str">
        <f t="shared" si="284"/>
        <v>Squat</v>
      </c>
      <c r="G30" s="50">
        <f t="shared" si="284"/>
        <v>1</v>
      </c>
      <c r="H30" s="51">
        <f t="shared" si="284"/>
        <v>5</v>
      </c>
      <c r="I30" s="64">
        <f t="shared" ref="I30:I31" si="291">I21+3</f>
        <v>78</v>
      </c>
      <c r="J30" s="53">
        <f>IF(D30="Squat",IF(I30&gt;10,MROUND((I30/100*SQMAX),2.5)," "),IF(D30="Bench",IF(I30&gt;10,MROUND((I30/100*BNMAX),2.5)," "),IF(D30="Deadlift",IF(I30&gt;10,MROUND((I30/100*DLMAX),2.5)," ")," ")))</f>
        <v>155</v>
      </c>
      <c r="K30" s="26"/>
      <c r="L30" s="66" t="str">
        <f>IFERROR((J30/VLOOKUP(K30,'RPE vs. %'!$D$3:$P$11,H30+1,FALSE)),"")</f>
        <v/>
      </c>
      <c r="M30" s="67"/>
      <c r="N30" s="27"/>
      <c r="O30" s="94" t="s">
        <v>58</v>
      </c>
      <c r="AM30" s="27"/>
      <c r="AN30" s="58" t="str">
        <f t="shared" ref="AN30:AR30" si="285">AN21</f>
        <v>Deadlift</v>
      </c>
      <c r="AO30" s="59" t="str">
        <f t="shared" si="285"/>
        <v/>
      </c>
      <c r="AP30" s="60" t="str">
        <f t="shared" si="285"/>
        <v>Deadlift pause</v>
      </c>
      <c r="AQ30" s="61">
        <f t="shared" si="285"/>
        <v>2</v>
      </c>
      <c r="AR30" s="62">
        <f t="shared" si="285"/>
        <v>5</v>
      </c>
      <c r="AS30" s="111">
        <f t="shared" si="286"/>
        <v>66</v>
      </c>
      <c r="AT30" s="32">
        <f>IF(AN30="Squat",IF(AS30&gt;10,MROUND((AS30/100*SQMAX),2.5)," "),IF(AN30="Bench",IF(AS30&gt;10,MROUND((AS30/100*BNMAX),2.5)," "),IF(AN30="Deadlift",IF(AS30&gt;10,MROUND((AS30/100*DLMAX),2.5)," ")," ")))</f>
        <v>165</v>
      </c>
      <c r="AU30" s="26"/>
      <c r="AV30" s="66" t="str">
        <f>IFERROR((AT30/VLOOKUP(AU30,'RPE vs. %'!$D$3:$P$11,AR30+1,FALSE)),"")</f>
        <v/>
      </c>
      <c r="AW30" s="67"/>
      <c r="AX30" s="27"/>
      <c r="AY30" s="94" t="s">
        <v>58</v>
      </c>
      <c r="BW30" s="27"/>
      <c r="BX30" s="69" t="str">
        <f t="shared" ref="BX30:CB30" si="287">BX21</f>
        <v>Bench</v>
      </c>
      <c r="BY30" s="70" t="str">
        <f t="shared" si="287"/>
        <v/>
      </c>
      <c r="BZ30" s="71" t="str">
        <f t="shared" si="287"/>
        <v>Bench</v>
      </c>
      <c r="CA30" s="72">
        <f t="shared" si="287"/>
        <v>4</v>
      </c>
      <c r="CB30" s="73">
        <f t="shared" si="287"/>
        <v>2</v>
      </c>
      <c r="CC30" s="114">
        <v>92.0</v>
      </c>
      <c r="CD30" s="75">
        <f>IF(BX30="Squat",IF(CC30&gt;10,MROUND((CC30/100*SQMAX),2.5)," "),IF(BX30="Bench",IF(CC30&gt;10,MROUND((CC30/100*BNMAX),2.5)," "),IF(BX30="Deadlift",IF(CC30&gt;10,MROUND((CC30/100*DLMAX),2.5)," ")," ")))</f>
        <v>130</v>
      </c>
      <c r="CE30" s="26"/>
      <c r="CF30" s="66" t="str">
        <f>IFERROR((CD30/VLOOKUP(CE30,'RPE vs. %'!$D$3:$P$11,CB30+1,FALSE)),"")</f>
        <v/>
      </c>
      <c r="CG30" s="67"/>
      <c r="CH30" s="27"/>
      <c r="CI30" s="94" t="s">
        <v>58</v>
      </c>
      <c r="DG30" s="27"/>
      <c r="DH30" s="69" t="str">
        <f t="shared" ref="DH30:DL30" si="288">DH21</f>
        <v>Bench</v>
      </c>
      <c r="DI30" s="70" t="str">
        <f t="shared" si="288"/>
        <v/>
      </c>
      <c r="DJ30" s="71" t="str">
        <f t="shared" si="288"/>
        <v>Bench</v>
      </c>
      <c r="DK30" s="72">
        <f t="shared" si="288"/>
        <v>3</v>
      </c>
      <c r="DL30" s="73">
        <f t="shared" si="288"/>
        <v>3</v>
      </c>
      <c r="DM30" s="115">
        <f t="shared" si="289"/>
        <v>88</v>
      </c>
      <c r="DN30" s="75">
        <f>IF(DH30="Squat",IF(DM30&gt;10,MROUND((DM30/100*SQMAX),2.5)," "),IF(DH30="Bench",IF(DM30&gt;10,MROUND((DM30/100*BNMAX),2.5)," "),IF(DH30="Deadlift",IF(DM30&gt;10,MROUND((DM30/100*DLMAX),2.5)," ")," ")))</f>
        <v>122.5</v>
      </c>
      <c r="DO30" s="26"/>
      <c r="DP30" s="66" t="str">
        <f>IFERROR((DN30/VLOOKUP(DO30,'RPE vs. %'!$D$3:$P$11,DL30+1,FALSE)),"")</f>
        <v/>
      </c>
      <c r="DQ30" s="67"/>
      <c r="DR30" s="27"/>
      <c r="DS30" s="27"/>
      <c r="DT30" s="94" t="s">
        <v>58</v>
      </c>
      <c r="ER30" s="94" t="s">
        <v>58</v>
      </c>
    </row>
    <row r="31">
      <c r="A31" s="27"/>
      <c r="C31" s="96"/>
      <c r="D31" s="120" t="str">
        <f t="shared" ref="D31:H31" si="290">D22</f>
        <v>Bench</v>
      </c>
      <c r="E31" s="121" t="str">
        <f t="shared" si="290"/>
        <v/>
      </c>
      <c r="F31" s="122" t="str">
        <f t="shared" si="290"/>
        <v>Bench </v>
      </c>
      <c r="G31" s="72">
        <f t="shared" si="290"/>
        <v>3</v>
      </c>
      <c r="H31" s="123">
        <f t="shared" si="290"/>
        <v>8</v>
      </c>
      <c r="I31" s="74">
        <f t="shared" si="291"/>
        <v>76</v>
      </c>
      <c r="J31" s="75">
        <f>IF(D31="Squat",IF(I31&gt;10,MROUND((I31/100*SQMAX),2.5)," "),IF(D31="Bench",IF(I31&gt;10,MROUND((I31/100*BNMAX),2.5)," "),IF(D31="Deadlift",IF(I31&gt;10,MROUND((I31/100*DLMAX),2.5)," ")," ")))</f>
        <v>107.5</v>
      </c>
      <c r="K31" s="27"/>
      <c r="L31" s="66" t="str">
        <f>IFERROR((J31/VLOOKUP(K31,'RPE vs. %'!$D$3:$P$11,H31+1,FALSE)),"")</f>
        <v/>
      </c>
      <c r="M31" s="67"/>
      <c r="N31" s="27"/>
      <c r="O31" s="104" t="s">
        <v>11</v>
      </c>
      <c r="Q31" s="105" t="s">
        <v>12</v>
      </c>
      <c r="S31" s="106" t="s">
        <v>13</v>
      </c>
      <c r="U31" s="33" t="s">
        <v>14</v>
      </c>
      <c r="W31" s="56" t="s">
        <v>15</v>
      </c>
      <c r="Y31" s="35" t="s">
        <v>16</v>
      </c>
      <c r="AA31" s="56" t="s">
        <v>17</v>
      </c>
      <c r="AC31" s="56" t="s">
        <v>18</v>
      </c>
      <c r="AE31" s="56" t="s">
        <v>19</v>
      </c>
      <c r="AG31" s="56" t="s">
        <v>20</v>
      </c>
      <c r="AI31" s="56" t="s">
        <v>21</v>
      </c>
      <c r="AK31" s="56" t="s">
        <v>22</v>
      </c>
      <c r="AM31" s="27"/>
      <c r="AN31" s="120" t="str">
        <f t="shared" ref="AN31:AR31" si="292">AN22</f>
        <v>Bench</v>
      </c>
      <c r="AO31" s="121" t="str">
        <f t="shared" si="292"/>
        <v/>
      </c>
      <c r="AP31" s="122" t="str">
        <f t="shared" si="292"/>
        <v>Bench larsen</v>
      </c>
      <c r="AQ31" s="72">
        <f t="shared" si="292"/>
        <v>3</v>
      </c>
      <c r="AR31" s="123">
        <f t="shared" si="292"/>
        <v>5</v>
      </c>
      <c r="AS31" s="114">
        <f t="shared" si="286"/>
        <v>70</v>
      </c>
      <c r="AT31" s="75">
        <f>IF(AN31="Squat",IF(AS31&gt;10,MROUND((AS31/100*SQMAX),2.5)," "),IF(AN31="Bench",IF(AS31&gt;10,MROUND((AS31/100*BNMAX),2.5)," "),IF(AN31="Deadlift",IF(AS31&gt;10,MROUND((AS31/100*DLMAX),2.5)," ")," ")))</f>
        <v>97.5</v>
      </c>
      <c r="AU31" s="27"/>
      <c r="AV31" s="66" t="str">
        <f>IFERROR((AT31/VLOOKUP(AU31,'RPE vs. %'!$D$3:$P$11,AR31+1,FALSE)),"")</f>
        <v/>
      </c>
      <c r="AW31" s="67"/>
      <c r="AX31" s="27"/>
      <c r="AY31" s="104" t="s">
        <v>11</v>
      </c>
      <c r="BA31" s="105" t="s">
        <v>12</v>
      </c>
      <c r="BC31" s="106" t="s">
        <v>13</v>
      </c>
      <c r="BE31" s="33" t="s">
        <v>14</v>
      </c>
      <c r="BG31" s="56" t="s">
        <v>15</v>
      </c>
      <c r="BI31" s="35" t="s">
        <v>16</v>
      </c>
      <c r="BK31" s="56" t="s">
        <v>17</v>
      </c>
      <c r="BM31" s="56" t="s">
        <v>18</v>
      </c>
      <c r="BO31" s="56" t="s">
        <v>19</v>
      </c>
      <c r="BQ31" s="56" t="s">
        <v>20</v>
      </c>
      <c r="BS31" s="56" t="s">
        <v>21</v>
      </c>
      <c r="BU31" s="56" t="s">
        <v>22</v>
      </c>
      <c r="BW31" s="27"/>
      <c r="BX31" s="120" t="str">
        <f t="shared" ref="BX31:BY31" si="293">BX22</f>
        <v>Bench</v>
      </c>
      <c r="BY31" s="121" t="str">
        <f t="shared" si="293"/>
        <v/>
      </c>
      <c r="BZ31" s="124" t="s">
        <v>59</v>
      </c>
      <c r="CA31" s="72">
        <f>CA22</f>
        <v>2</v>
      </c>
      <c r="CB31" s="125">
        <v>1.0</v>
      </c>
      <c r="CC31" s="126">
        <v>102.0</v>
      </c>
      <c r="CD31" s="75">
        <f>IF(BX31="Squat",IF(CC31&gt;10,MROUND((CC31/100*SQMAX),2.5)," "),IF(BX31="Bench",IF(CC31&gt;10,MROUND((CC31/100*BNMAX),2.5)," "),IF(BX31="Deadlift",IF(CC31&gt;10,MROUND((CC31/100*DLMAX),2.5)," ")," ")))</f>
        <v>142.5</v>
      </c>
      <c r="CE31" s="27"/>
      <c r="CF31" s="66" t="str">
        <f>IFERROR((CD31/VLOOKUP(CE31,'RPE vs. %'!$D$3:$P$11,CB31+1,FALSE)),"")</f>
        <v/>
      </c>
      <c r="CG31" s="67"/>
      <c r="CH31" s="27"/>
      <c r="CI31" s="104" t="s">
        <v>11</v>
      </c>
      <c r="CK31" s="105" t="s">
        <v>12</v>
      </c>
      <c r="CM31" s="106" t="s">
        <v>13</v>
      </c>
      <c r="CO31" s="33" t="s">
        <v>14</v>
      </c>
      <c r="CQ31" s="56" t="s">
        <v>15</v>
      </c>
      <c r="CS31" s="35" t="s">
        <v>16</v>
      </c>
      <c r="CU31" s="56" t="s">
        <v>17</v>
      </c>
      <c r="CW31" s="56" t="s">
        <v>18</v>
      </c>
      <c r="CY31" s="56" t="s">
        <v>19</v>
      </c>
      <c r="DA31" s="56" t="s">
        <v>20</v>
      </c>
      <c r="DC31" s="56" t="s">
        <v>21</v>
      </c>
      <c r="DE31" s="56" t="s">
        <v>22</v>
      </c>
      <c r="DG31" s="27"/>
      <c r="DH31" s="107" t="str">
        <f t="shared" ref="DH31:DL31" si="294">DH22</f>
        <v>Deadlift</v>
      </c>
      <c r="DI31" s="108" t="str">
        <f t="shared" si="294"/>
        <v/>
      </c>
      <c r="DJ31" s="109" t="str">
        <f t="shared" si="294"/>
        <v>Deadlift</v>
      </c>
      <c r="DK31" s="61">
        <f t="shared" si="294"/>
        <v>3</v>
      </c>
      <c r="DL31" s="110">
        <f t="shared" si="294"/>
        <v>3</v>
      </c>
      <c r="DM31" s="116">
        <f t="shared" si="289"/>
        <v>88</v>
      </c>
      <c r="DN31" s="32">
        <f>IF(DH31="Squat",IF(DM31&gt;10,MROUND((DM31/100*SQMAX),2.5)," "),IF(DH31="Bench",IF(DM31&gt;10,MROUND((DM31/100*BNMAX),2.5)," "),IF(DH31="Deadlift",IF(DM31&gt;10,MROUND((DM31/100*DLMAX),2.5)," ")," ")))</f>
        <v>220</v>
      </c>
      <c r="DO31" s="27"/>
      <c r="DP31" s="66" t="str">
        <f>IFERROR((DN31/VLOOKUP(DO31,'RPE vs. %'!$D$3:$P$11,DL31+1,FALSE)),"")</f>
        <v/>
      </c>
      <c r="DQ31" s="67"/>
      <c r="DR31" s="27"/>
      <c r="DS31" s="27"/>
      <c r="DT31" s="104" t="s">
        <v>11</v>
      </c>
      <c r="DV31" s="105" t="s">
        <v>12</v>
      </c>
      <c r="DX31" s="106" t="s">
        <v>13</v>
      </c>
      <c r="DZ31" s="33" t="s">
        <v>14</v>
      </c>
      <c r="EB31" s="56" t="s">
        <v>15</v>
      </c>
      <c r="ED31" s="35" t="s">
        <v>16</v>
      </c>
      <c r="EF31" s="56" t="s">
        <v>17</v>
      </c>
      <c r="EH31" s="56" t="s">
        <v>18</v>
      </c>
      <c r="EJ31" s="56" t="s">
        <v>19</v>
      </c>
      <c r="EL31" s="56" t="s">
        <v>20</v>
      </c>
      <c r="EN31" s="56" t="s">
        <v>21</v>
      </c>
      <c r="EP31" s="56" t="s">
        <v>22</v>
      </c>
      <c r="ER31" s="104" t="s">
        <v>11</v>
      </c>
      <c r="ET31" s="105" t="s">
        <v>12</v>
      </c>
      <c r="EV31" s="106" t="s">
        <v>13</v>
      </c>
      <c r="EX31" s="33" t="s">
        <v>14</v>
      </c>
      <c r="EZ31" s="56" t="s">
        <v>15</v>
      </c>
      <c r="FB31" s="35" t="s">
        <v>16</v>
      </c>
      <c r="FD31" s="56" t="s">
        <v>17</v>
      </c>
      <c r="FF31" s="56" t="s">
        <v>18</v>
      </c>
      <c r="FH31" s="56" t="s">
        <v>19</v>
      </c>
      <c r="FJ31" s="56" t="s">
        <v>20</v>
      </c>
      <c r="FL31" s="56" t="s">
        <v>21</v>
      </c>
      <c r="FN31" s="56" t="s">
        <v>22</v>
      </c>
    </row>
    <row r="32">
      <c r="A32" s="27"/>
      <c r="C32" s="96"/>
      <c r="D32" s="78" t="str">
        <f t="shared" ref="D32:H32" si="295">D23</f>
        <v>Renfo</v>
      </c>
      <c r="E32" s="79" t="str">
        <f t="shared" si="295"/>
        <v/>
      </c>
      <c r="F32" s="80" t="str">
        <f t="shared" si="295"/>
        <v>Hack squat</v>
      </c>
      <c r="G32" s="81">
        <f t="shared" si="295"/>
        <v>2</v>
      </c>
      <c r="H32" s="82">
        <f t="shared" si="295"/>
        <v>45938</v>
      </c>
      <c r="I32" s="1" t="str">
        <f t="shared" ref="I32:I35" si="300">I14</f>
        <v/>
      </c>
      <c r="J32" s="34" t="str">
        <f>IF(D32="Squat",IF(I32&gt;10,MROUND((I32/100*SQMAX),2.5)," "),IF(D32="Bench",IF(I32&gt;10,MROUND((I32/100*BNMAX),2.5)," "),IF(D32="Deadlift",IF(I32&gt;10,MROUND((I32/100*DLMAX),2.5)," ")," ")))</f>
        <v> </v>
      </c>
      <c r="K32" s="26"/>
      <c r="L32" s="66" t="str">
        <f>IFERROR((J32/VLOOKUP(K32,'RPE vs. %'!$D$3:$P$11,H32+1,FALSE)),"")</f>
        <v/>
      </c>
      <c r="M32" s="67"/>
      <c r="N32" s="27"/>
      <c r="O32" s="127" t="s">
        <v>33</v>
      </c>
      <c r="P32" s="127" t="s">
        <v>34</v>
      </c>
      <c r="Q32" s="127" t="s">
        <v>33</v>
      </c>
      <c r="R32" s="127" t="s">
        <v>34</v>
      </c>
      <c r="S32" s="127" t="s">
        <v>33</v>
      </c>
      <c r="T32" s="127" t="s">
        <v>34</v>
      </c>
      <c r="U32" s="127" t="s">
        <v>33</v>
      </c>
      <c r="V32" s="127" t="s">
        <v>34</v>
      </c>
      <c r="W32" s="127" t="s">
        <v>33</v>
      </c>
      <c r="X32" s="127" t="s">
        <v>34</v>
      </c>
      <c r="Y32" s="127" t="s">
        <v>33</v>
      </c>
      <c r="Z32" s="127" t="s">
        <v>34</v>
      </c>
      <c r="AA32" s="127" t="s">
        <v>33</v>
      </c>
      <c r="AB32" s="127" t="s">
        <v>34</v>
      </c>
      <c r="AC32" s="127" t="s">
        <v>33</v>
      </c>
      <c r="AD32" s="127" t="s">
        <v>34</v>
      </c>
      <c r="AE32" s="127" t="s">
        <v>33</v>
      </c>
      <c r="AF32" s="127" t="s">
        <v>34</v>
      </c>
      <c r="AG32" s="127" t="s">
        <v>33</v>
      </c>
      <c r="AH32" s="127" t="s">
        <v>34</v>
      </c>
      <c r="AI32" s="127" t="s">
        <v>33</v>
      </c>
      <c r="AJ32" s="127" t="s">
        <v>34</v>
      </c>
      <c r="AK32" s="127" t="s">
        <v>33</v>
      </c>
      <c r="AL32" s="127" t="s">
        <v>34</v>
      </c>
      <c r="AM32" s="27"/>
      <c r="AN32" s="78" t="str">
        <f t="shared" ref="AN32:AR32" si="296">AN23</f>
        <v>Renfo</v>
      </c>
      <c r="AO32" s="79" t="str">
        <f t="shared" si="296"/>
        <v/>
      </c>
      <c r="AP32" s="80" t="str">
        <f t="shared" si="296"/>
        <v>Rdl uni</v>
      </c>
      <c r="AQ32" s="81">
        <f t="shared" si="296"/>
        <v>3</v>
      </c>
      <c r="AR32" s="85">
        <f t="shared" si="296"/>
        <v>8</v>
      </c>
      <c r="AS32" s="117" t="str">
        <f t="shared" ref="AS32:AS35" si="302">AS14</f>
        <v/>
      </c>
      <c r="AT32" s="34" t="str">
        <f>IF(AN32="Squat",IF(AS32&gt;10,MROUND((AS32/100*SQMAX),2.5)," "),IF(AN32="Bench",IF(AS32&gt;10,MROUND((AS32/100*BNMAX),2.5)," "),IF(AN32="Deadlift",IF(AS32&gt;10,MROUND((AS32/100*DLMAX),2.5)," ")," ")))</f>
        <v> </v>
      </c>
      <c r="AU32" s="26"/>
      <c r="AV32" s="66" t="str">
        <f>IFERROR((AT32/VLOOKUP(AU32,'RPE vs. %'!$D$3:$P$11,AR32+1,FALSE)),"")</f>
        <v/>
      </c>
      <c r="AW32" s="67"/>
      <c r="AX32" s="27"/>
      <c r="AY32" s="127" t="s">
        <v>33</v>
      </c>
      <c r="AZ32" s="127" t="s">
        <v>34</v>
      </c>
      <c r="BA32" s="127" t="s">
        <v>33</v>
      </c>
      <c r="BB32" s="127" t="s">
        <v>34</v>
      </c>
      <c r="BC32" s="127" t="s">
        <v>33</v>
      </c>
      <c r="BD32" s="127" t="s">
        <v>34</v>
      </c>
      <c r="BE32" s="127" t="s">
        <v>33</v>
      </c>
      <c r="BF32" s="127" t="s">
        <v>34</v>
      </c>
      <c r="BG32" s="127" t="s">
        <v>33</v>
      </c>
      <c r="BH32" s="127" t="s">
        <v>34</v>
      </c>
      <c r="BI32" s="127" t="s">
        <v>33</v>
      </c>
      <c r="BJ32" s="127" t="s">
        <v>34</v>
      </c>
      <c r="BK32" s="127" t="s">
        <v>33</v>
      </c>
      <c r="BL32" s="127" t="s">
        <v>34</v>
      </c>
      <c r="BM32" s="127" t="s">
        <v>33</v>
      </c>
      <c r="BN32" s="127" t="s">
        <v>34</v>
      </c>
      <c r="BO32" s="127" t="s">
        <v>33</v>
      </c>
      <c r="BP32" s="127" t="s">
        <v>34</v>
      </c>
      <c r="BQ32" s="127" t="s">
        <v>33</v>
      </c>
      <c r="BR32" s="127" t="s">
        <v>34</v>
      </c>
      <c r="BS32" s="127" t="s">
        <v>33</v>
      </c>
      <c r="BT32" s="127" t="s">
        <v>34</v>
      </c>
      <c r="BU32" s="127" t="s">
        <v>33</v>
      </c>
      <c r="BV32" s="127" t="s">
        <v>34</v>
      </c>
      <c r="BW32" s="27"/>
      <c r="BX32" s="78" t="str">
        <f t="shared" ref="BX32:CB32" si="297">BX23</f>
        <v>Renfo</v>
      </c>
      <c r="BY32" s="79" t="str">
        <f t="shared" si="297"/>
        <v/>
      </c>
      <c r="BZ32" s="80" t="str">
        <f t="shared" si="297"/>
        <v>chest press</v>
      </c>
      <c r="CA32" s="81">
        <f t="shared" si="297"/>
        <v>3</v>
      </c>
      <c r="CB32" s="85">
        <f t="shared" si="297"/>
        <v>12</v>
      </c>
      <c r="CC32" s="117" t="str">
        <f t="shared" ref="CC32:CC35" si="304">CC14</f>
        <v/>
      </c>
      <c r="CD32" s="34" t="str">
        <f>IF(BX32="Squat",IF(CC32&gt;10,MROUND((CC32/100*SQMAX),2.5)," "),IF(BX32="Bench",IF(CC32&gt;10,MROUND((CC32/100*BNMAX),2.5)," "),IF(BX32="Deadlift",IF(CC32&gt;10,MROUND((CC32/100*DLMAX),2.5)," ")," ")))</f>
        <v> </v>
      </c>
      <c r="CE32" s="26"/>
      <c r="CF32" s="66" t="str">
        <f>IFERROR((CD32/VLOOKUP(CE32,'RPE vs. %'!$D$3:$P$11,CB32+1,FALSE)),"")</f>
        <v/>
      </c>
      <c r="CG32" s="67"/>
      <c r="CH32" s="27"/>
      <c r="CI32" s="127" t="s">
        <v>33</v>
      </c>
      <c r="CJ32" s="127" t="s">
        <v>34</v>
      </c>
      <c r="CK32" s="127" t="s">
        <v>33</v>
      </c>
      <c r="CL32" s="127" t="s">
        <v>34</v>
      </c>
      <c r="CM32" s="127" t="s">
        <v>33</v>
      </c>
      <c r="CN32" s="127" t="s">
        <v>34</v>
      </c>
      <c r="CO32" s="127" t="s">
        <v>33</v>
      </c>
      <c r="CP32" s="127" t="s">
        <v>34</v>
      </c>
      <c r="CQ32" s="127" t="s">
        <v>33</v>
      </c>
      <c r="CR32" s="127" t="s">
        <v>34</v>
      </c>
      <c r="CS32" s="127" t="s">
        <v>33</v>
      </c>
      <c r="CT32" s="127" t="s">
        <v>34</v>
      </c>
      <c r="CU32" s="127" t="s">
        <v>33</v>
      </c>
      <c r="CV32" s="127" t="s">
        <v>34</v>
      </c>
      <c r="CW32" s="127" t="s">
        <v>33</v>
      </c>
      <c r="CX32" s="127" t="s">
        <v>34</v>
      </c>
      <c r="CY32" s="127" t="s">
        <v>33</v>
      </c>
      <c r="CZ32" s="127" t="s">
        <v>34</v>
      </c>
      <c r="DA32" s="127" t="s">
        <v>33</v>
      </c>
      <c r="DB32" s="127" t="s">
        <v>34</v>
      </c>
      <c r="DC32" s="127" t="s">
        <v>33</v>
      </c>
      <c r="DD32" s="127" t="s">
        <v>34</v>
      </c>
      <c r="DE32" s="127" t="s">
        <v>33</v>
      </c>
      <c r="DF32" s="127" t="s">
        <v>34</v>
      </c>
      <c r="DG32" s="27"/>
      <c r="DH32" s="78" t="str">
        <f t="shared" ref="DH32:DL32" si="298">DH23</f>
        <v>Renfo</v>
      </c>
      <c r="DI32" s="79" t="str">
        <f t="shared" si="298"/>
        <v/>
      </c>
      <c r="DJ32" s="80" t="str">
        <f t="shared" si="298"/>
        <v>Back extension</v>
      </c>
      <c r="DK32" s="81">
        <f t="shared" si="298"/>
        <v>5</v>
      </c>
      <c r="DL32" s="85">
        <f t="shared" si="298"/>
        <v>12</v>
      </c>
      <c r="DM32" s="119" t="str">
        <f t="shared" ref="DM32:DM35" si="306">DM14</f>
        <v/>
      </c>
      <c r="DN32" s="34" t="str">
        <f>IF(DH32="Squat",IF(DM32&gt;10,MROUND((DM32/100*SQMAX),2.5)," "),IF(DH32="Bench",IF(DM32&gt;10,MROUND((DM32/100*BNMAX),2.5)," "),IF(DH32="Deadlift",IF(DM32&gt;10,MROUND((DM32/100*DLMAX),2.5)," ")," ")))</f>
        <v> </v>
      </c>
      <c r="DO32" s="26"/>
      <c r="DP32" s="66" t="str">
        <f>IFERROR((DN32/VLOOKUP(DO32,'RPE vs. %'!$D$3:$P$11,DL32+1,FALSE)),"")</f>
        <v/>
      </c>
      <c r="DQ32" s="67"/>
      <c r="DR32" s="27"/>
      <c r="DS32" s="27"/>
      <c r="DT32" s="127" t="s">
        <v>33</v>
      </c>
      <c r="DU32" s="127" t="s">
        <v>34</v>
      </c>
      <c r="DV32" s="127" t="s">
        <v>33</v>
      </c>
      <c r="DW32" s="127" t="s">
        <v>34</v>
      </c>
      <c r="DX32" s="127" t="s">
        <v>33</v>
      </c>
      <c r="DY32" s="127" t="s">
        <v>34</v>
      </c>
      <c r="DZ32" s="127" t="s">
        <v>33</v>
      </c>
      <c r="EA32" s="127" t="s">
        <v>34</v>
      </c>
      <c r="EB32" s="127" t="s">
        <v>33</v>
      </c>
      <c r="EC32" s="127" t="s">
        <v>34</v>
      </c>
      <c r="ED32" s="127" t="s">
        <v>33</v>
      </c>
      <c r="EE32" s="127" t="s">
        <v>34</v>
      </c>
      <c r="EF32" s="127" t="s">
        <v>33</v>
      </c>
      <c r="EG32" s="127" t="s">
        <v>34</v>
      </c>
      <c r="EH32" s="127" t="s">
        <v>33</v>
      </c>
      <c r="EI32" s="127" t="s">
        <v>34</v>
      </c>
      <c r="EJ32" s="127" t="s">
        <v>33</v>
      </c>
      <c r="EK32" s="127" t="s">
        <v>34</v>
      </c>
      <c r="EL32" s="127" t="s">
        <v>33</v>
      </c>
      <c r="EM32" s="127" t="s">
        <v>34</v>
      </c>
      <c r="EN32" s="127" t="s">
        <v>33</v>
      </c>
      <c r="EO32" s="127" t="s">
        <v>34</v>
      </c>
      <c r="EP32" s="127" t="s">
        <v>33</v>
      </c>
      <c r="EQ32" s="127" t="s">
        <v>34</v>
      </c>
      <c r="ER32" s="127" t="s">
        <v>33</v>
      </c>
      <c r="ES32" s="127" t="s">
        <v>34</v>
      </c>
      <c r="ET32" s="127" t="s">
        <v>33</v>
      </c>
      <c r="EU32" s="127" t="s">
        <v>34</v>
      </c>
      <c r="EV32" s="127" t="s">
        <v>33</v>
      </c>
      <c r="EW32" s="127" t="s">
        <v>34</v>
      </c>
      <c r="EX32" s="127" t="s">
        <v>33</v>
      </c>
      <c r="EY32" s="127" t="s">
        <v>34</v>
      </c>
      <c r="EZ32" s="127" t="s">
        <v>33</v>
      </c>
      <c r="FA32" s="127" t="s">
        <v>34</v>
      </c>
      <c r="FB32" s="127" t="s">
        <v>33</v>
      </c>
      <c r="FC32" s="127" t="s">
        <v>34</v>
      </c>
      <c r="FD32" s="127" t="s">
        <v>33</v>
      </c>
      <c r="FE32" s="127" t="s">
        <v>34</v>
      </c>
      <c r="FF32" s="127" t="s">
        <v>33</v>
      </c>
      <c r="FG32" s="127" t="s">
        <v>34</v>
      </c>
      <c r="FH32" s="127" t="s">
        <v>33</v>
      </c>
      <c r="FI32" s="127" t="s">
        <v>34</v>
      </c>
      <c r="FJ32" s="127" t="s">
        <v>33</v>
      </c>
      <c r="FK32" s="127" t="s">
        <v>34</v>
      </c>
      <c r="FL32" s="127" t="s">
        <v>33</v>
      </c>
      <c r="FM32" s="127" t="s">
        <v>34</v>
      </c>
      <c r="FN32" s="127" t="s">
        <v>33</v>
      </c>
      <c r="FO32" s="127" t="s">
        <v>34</v>
      </c>
    </row>
    <row r="33">
      <c r="A33" s="27"/>
      <c r="C33" s="46"/>
      <c r="D33" s="78" t="str">
        <f t="shared" ref="D33:H33" si="299">D24</f>
        <v>Renfo</v>
      </c>
      <c r="E33" s="79" t="str">
        <f t="shared" si="299"/>
        <v/>
      </c>
      <c r="F33" s="80" t="str">
        <f t="shared" si="299"/>
        <v>développer militaire </v>
      </c>
      <c r="G33" s="81">
        <f t="shared" si="299"/>
        <v>2</v>
      </c>
      <c r="H33" s="85">
        <f t="shared" si="299"/>
        <v>8</v>
      </c>
      <c r="I33" s="1" t="str">
        <f t="shared" si="300"/>
        <v/>
      </c>
      <c r="J33" s="34" t="str">
        <f>IF(D33="Squat",IF(I33&gt;10,MROUND((I33/100*SQMAX),2.5)," "),IF(D33="Bench",IF(I33&gt;10,MROUND((I33/100*BNMAX),2.5)," "),IF(D33="Deadlift",IF(I33&gt;10,MROUND((I33/100*DLMAX),2.5)," ")," ")))</f>
        <v> </v>
      </c>
      <c r="K33" s="26"/>
      <c r="L33" s="66" t="str">
        <f>IFERROR((J33/VLOOKUP(K33,'RPE vs. %'!$D$3:$P$11,H33+1,FALSE)),"")</f>
        <v/>
      </c>
      <c r="M33" s="67"/>
      <c r="N33" s="27"/>
      <c r="O33" s="56">
        <f t="shared" ref="O33:O39" si="308">IF(D29="Squat",G29,"")</f>
        <v>2</v>
      </c>
      <c r="P33" s="56">
        <f t="shared" ref="P33:P39" si="309">IF(D29="Squat",G29*H29*J29,"")</f>
        <v>1450</v>
      </c>
      <c r="Q33" s="57" t="str">
        <f t="shared" ref="Q33:Q39" si="310">IF(D29="Bench",G29,"")</f>
        <v/>
      </c>
      <c r="R33" s="57" t="str">
        <f t="shared" ref="R33:R39" si="311">IF(D29="Bench",G29*H29*J29,"")</f>
        <v/>
      </c>
      <c r="S33" s="57" t="str">
        <f t="shared" ref="S33:S39" si="312">IF(D29="Deadlift",G29,"")</f>
        <v/>
      </c>
      <c r="T33" s="57" t="str">
        <f t="shared" ref="T33:T39" si="313">IF(D29="Deadlift",G29*H29*J29,"")</f>
        <v/>
      </c>
      <c r="U33" s="57" t="str">
        <f t="shared" ref="U33:U39" si="314">IF(E29="pecs",G29,"")</f>
        <v/>
      </c>
      <c r="V33" s="57" t="str">
        <f t="shared" ref="V33:V39" si="315">IF(E29="pecs",G29*H29*J29,"")</f>
        <v/>
      </c>
      <c r="W33" s="57" t="str">
        <f t="shared" ref="W33:W39" si="316">IF(E29="dos",G29,"")</f>
        <v/>
      </c>
      <c r="X33" s="57" t="str">
        <f t="shared" ref="X33:X39" si="317">IF(E29="dos",G29*H29*J29,"")</f>
        <v/>
      </c>
      <c r="Y33" s="57" t="str">
        <f t="shared" ref="Y33:Y39" si="318">IF(E29="épaules",G29,"")</f>
        <v/>
      </c>
      <c r="Z33" s="57" t="str">
        <f t="shared" ref="Z33:Z39" si="319">IF(E29="épaules",G29*H29*J29,"")</f>
        <v/>
      </c>
      <c r="AA33" s="57" t="str">
        <f t="shared" ref="AA33:AA39" si="320">IF(E29="biceps",G29,"")</f>
        <v/>
      </c>
      <c r="AB33" s="57" t="str">
        <f t="shared" ref="AB33:AB39" si="321">IF(E29="biceps",G29*H29*J29,"")</f>
        <v/>
      </c>
      <c r="AC33" s="57" t="str">
        <f t="shared" ref="AC33:AC39" si="322">IF(E29="triceps",G29,"")</f>
        <v/>
      </c>
      <c r="AD33" s="57" t="str">
        <f t="shared" ref="AD33:AD39" si="323">IF(E29="triceps",G29*H29*J29,"")</f>
        <v/>
      </c>
      <c r="AE33" s="57" t="str">
        <f t="shared" ref="AE33:AE39" si="324">IF(E29="quads",G29,"")</f>
        <v/>
      </c>
      <c r="AF33" s="57" t="str">
        <f t="shared" ref="AF33:AF39" si="325">IF(E29="quads",G29*H29*J29,"")</f>
        <v/>
      </c>
      <c r="AG33" s="57" t="str">
        <f t="shared" ref="AG33:AG39" si="326">IF(E29="ischios",G29,"")</f>
        <v/>
      </c>
      <c r="AH33" s="57" t="str">
        <f t="shared" ref="AH33:AH39" si="327">IF(E29="ischios",G29*H29*J29,"")</f>
        <v/>
      </c>
      <c r="AI33" s="57" t="str">
        <f t="shared" ref="AI33:AI39" si="328">IF(E29="fessier",G29,"")</f>
        <v/>
      </c>
      <c r="AJ33" s="57" t="str">
        <f t="shared" ref="AJ33:AJ39" si="329">IF(E29="fessier",G29*H29*J29,"")</f>
        <v/>
      </c>
      <c r="AK33" s="57" t="str">
        <f t="shared" ref="AK33:AK39" si="330">IF(E29="mollets",G29,"")</f>
        <v/>
      </c>
      <c r="AL33" s="57" t="str">
        <f t="shared" ref="AL33:AL39" si="331">IF(E29="mollets",G29*H29*J29,"")</f>
        <v/>
      </c>
      <c r="AM33" s="27"/>
      <c r="AN33" s="78" t="str">
        <f t="shared" ref="AN33:AR33" si="301">AN24</f>
        <v>Renfo</v>
      </c>
      <c r="AO33" s="79" t="str">
        <f t="shared" si="301"/>
        <v/>
      </c>
      <c r="AP33" s="80" t="str">
        <f t="shared" si="301"/>
        <v>Back extension</v>
      </c>
      <c r="AQ33" s="81">
        <f t="shared" si="301"/>
        <v>5</v>
      </c>
      <c r="AR33" s="85">
        <f t="shared" si="301"/>
        <v>12</v>
      </c>
      <c r="AS33" s="117" t="str">
        <f t="shared" si="302"/>
        <v/>
      </c>
      <c r="AT33" s="34" t="str">
        <f>IF(AN33="Squat",IF(AS33&gt;10,MROUND((AS33/100*SQMAX),2.5)," "),IF(AN33="Bench",IF(AS33&gt;10,MROUND((AS33/100*BNMAX),2.5)," "),IF(AN33="Deadlift",IF(AS33&gt;10,MROUND((AS33/100*DLMAX),2.5)," ")," ")))</f>
        <v> </v>
      </c>
      <c r="AU33" s="26"/>
      <c r="AV33" s="66" t="str">
        <f>IFERROR((AT33/VLOOKUP(AU33,'RPE vs. %'!$D$3:$P$11,AR33+1,FALSE)),"")</f>
        <v/>
      </c>
      <c r="AW33" s="67"/>
      <c r="AX33" s="27"/>
      <c r="AY33" s="57" t="str">
        <f t="shared" ref="AY33:AY39" si="333">IF(AN29="Squat",AQ29,"")</f>
        <v/>
      </c>
      <c r="AZ33" s="57" t="str">
        <f t="shared" ref="AZ33:AZ39" si="334">IF(AN29="Squat",AQ29*AR29*AT29,"")</f>
        <v/>
      </c>
      <c r="BA33" s="57" t="str">
        <f t="shared" ref="BA33:BA39" si="335">IF(AN29="Bench",AQ29,"")</f>
        <v/>
      </c>
      <c r="BB33" s="57" t="str">
        <f t="shared" ref="BB33:BB39" si="336">IF(AN29="Bench",AQ29*AR29*AT29,"")</f>
        <v/>
      </c>
      <c r="BC33" s="56">
        <f t="shared" ref="BC33:BC39" si="337">IF(AN29="Deadlift",AQ29,"")</f>
        <v>3</v>
      </c>
      <c r="BD33" s="56">
        <f t="shared" ref="BD33:BD39" si="338">IF(AN29="Deadlift",AQ29*AR29*AT29,"")</f>
        <v>1935</v>
      </c>
      <c r="BE33" s="57" t="str">
        <f t="shared" ref="BE33:BE39" si="339">IF(AO29="pecs",AQ29,"")</f>
        <v/>
      </c>
      <c r="BF33" s="57" t="str">
        <f t="shared" ref="BF33:BF39" si="340">IF(AO29="pecs",AQ29*AR29*AT29,"")</f>
        <v/>
      </c>
      <c r="BG33" s="57" t="str">
        <f t="shared" ref="BG33:BG39" si="341">IF(AO29="dos",AQ29,"")</f>
        <v/>
      </c>
      <c r="BH33" s="57" t="str">
        <f t="shared" ref="BH33:BH39" si="342">IF(AO29="dos",AQ29*AR29*AT29,"")</f>
        <v/>
      </c>
      <c r="BI33" s="57" t="str">
        <f t="shared" ref="BI33:BI39" si="343">IF(AO29="épaules",AQ29,"")</f>
        <v/>
      </c>
      <c r="BJ33" s="57" t="str">
        <f t="shared" ref="BJ33:BJ39" si="344">IF(AO29="épaules",AQ29*AR29*AT29,"")</f>
        <v/>
      </c>
      <c r="BK33" s="57" t="str">
        <f t="shared" ref="BK33:BK39" si="345">IF(AO29="biceps",AQ29,"")</f>
        <v/>
      </c>
      <c r="BL33" s="57" t="str">
        <f t="shared" ref="BL33:BL39" si="346">IF(AO29="biceps",AQ29*AR29*AT29,"")</f>
        <v/>
      </c>
      <c r="BM33" s="57" t="str">
        <f t="shared" ref="BM33:BM39" si="347">IF(AO29="triceps",AQ29,"")</f>
        <v/>
      </c>
      <c r="BN33" s="57" t="str">
        <f t="shared" ref="BN33:BN39" si="348">IF(AO29="triceps",AQ29*AR29*AT29,"")</f>
        <v/>
      </c>
      <c r="BO33" s="57" t="str">
        <f t="shared" ref="BO33:BO39" si="349">IF(AO29="quads",AQ29,"")</f>
        <v/>
      </c>
      <c r="BP33" s="57" t="str">
        <f t="shared" ref="BP33:BP39" si="350">IF(AO29="quads",AQ29*AR29*AT29,"")</f>
        <v/>
      </c>
      <c r="BQ33" s="57" t="str">
        <f t="shared" ref="BQ33:BQ39" si="351">IF(AO29="ischios",AQ29,"")</f>
        <v/>
      </c>
      <c r="BR33" s="57" t="str">
        <f t="shared" ref="BR33:BR39" si="352">IF(AO29="ischios",AQ29*AR29*AT29,"")</f>
        <v/>
      </c>
      <c r="BS33" s="57" t="str">
        <f t="shared" ref="BS33:BS39" si="353">IF(AO29="fessier",AQ29,"")</f>
        <v/>
      </c>
      <c r="BT33" s="57" t="str">
        <f t="shared" ref="BT33:BT39" si="354">IF(AO29="fessier",AQ29*AR29*AT29,"")</f>
        <v/>
      </c>
      <c r="BU33" s="57" t="str">
        <f t="shared" ref="BU33:BU39" si="355">IF(AO29="mollets",AQ29,"")</f>
        <v/>
      </c>
      <c r="BV33" s="57" t="str">
        <f t="shared" ref="BV33:BV39" si="356">IF(AO29="mollets",AQ29*AR29*AT29,"")</f>
        <v/>
      </c>
      <c r="BW33" s="27"/>
      <c r="BX33" s="78" t="str">
        <f t="shared" ref="BX33:CB33" si="303">BX24</f>
        <v>Renfo</v>
      </c>
      <c r="BY33" s="79" t="str">
        <f t="shared" si="303"/>
        <v/>
      </c>
      <c r="BZ33" s="80" t="str">
        <f t="shared" si="303"/>
        <v>Incliné haltère</v>
      </c>
      <c r="CA33" s="81">
        <f t="shared" si="303"/>
        <v>3</v>
      </c>
      <c r="CB33" s="85">
        <f t="shared" si="303"/>
        <v>8</v>
      </c>
      <c r="CC33" s="117" t="str">
        <f t="shared" si="304"/>
        <v/>
      </c>
      <c r="CD33" s="34" t="str">
        <f>IF(BX33="Squat",IF(CC33&gt;10,MROUND((CC33/100*SQMAX),2.5)," "),IF(BX33="Bench",IF(CC33&gt;10,MROUND((CC33/100*BNMAX),2.5)," "),IF(BX33="Deadlift",IF(CC33&gt;10,MROUND((CC33/100*DLMAX),2.5)," ")," ")))</f>
        <v> </v>
      </c>
      <c r="CE33" s="26"/>
      <c r="CF33" s="66" t="str">
        <f>IFERROR((CD33/VLOOKUP(CE33,'RPE vs. %'!$D$3:$P$11,CB33+1,FALSE)),"")</f>
        <v/>
      </c>
      <c r="CG33" s="67"/>
      <c r="CH33" s="27"/>
      <c r="CI33" s="56">
        <f t="shared" ref="CI33:CI39" si="358">IF(BX29="Squat",CA29,"")</f>
        <v>3</v>
      </c>
      <c r="CJ33" s="56">
        <f t="shared" ref="CJ33:CJ39" si="359">IF(BX29="Squat",CA29*CB29*CD29,"")</f>
        <v>2175</v>
      </c>
      <c r="CK33" s="57" t="str">
        <f t="shared" ref="CK33:CK39" si="360">IF(BX29="Bench",CA29,"")</f>
        <v/>
      </c>
      <c r="CL33" s="57" t="str">
        <f t="shared" ref="CL33:CL39" si="361">IF(BX29="Bench",CA29*CB29*CD29,"")</f>
        <v/>
      </c>
      <c r="CM33" s="57" t="str">
        <f t="shared" ref="CM33:CM39" si="362">IF(BX29="Deadlift",CA29,"")</f>
        <v/>
      </c>
      <c r="CN33" s="57" t="str">
        <f t="shared" ref="CN33:CN39" si="363">IF(BX29="Deadlift",CA29*CB29*CD29,"")</f>
        <v/>
      </c>
      <c r="CO33" s="57" t="str">
        <f t="shared" ref="CO33:CO39" si="364">IF(BY29="pecs",CA29,"")</f>
        <v/>
      </c>
      <c r="CP33" s="57" t="str">
        <f t="shared" ref="CP33:CP39" si="365">IF(BY29="pecs",CA29*CB29*CD29,"")</f>
        <v/>
      </c>
      <c r="CQ33" s="57" t="str">
        <f t="shared" ref="CQ33:CQ39" si="366">IF(BY29="dos",CA29,"")</f>
        <v/>
      </c>
      <c r="CR33" s="57" t="str">
        <f t="shared" ref="CR33:CR39" si="367">IF(BY29="dos",CA29*CB29*CD29,"")</f>
        <v/>
      </c>
      <c r="CS33" s="57" t="str">
        <f t="shared" ref="CS33:CS39" si="368">IF(BY29="épaules",CA29,"")</f>
        <v/>
      </c>
      <c r="CT33" s="57" t="str">
        <f t="shared" ref="CT33:CT39" si="369">IF(BY29="épaules",CA29*CB29*CD29,"")</f>
        <v/>
      </c>
      <c r="CU33" s="57" t="str">
        <f t="shared" ref="CU33:CU39" si="370">IF(BY29="biceps",CA29,"")</f>
        <v/>
      </c>
      <c r="CV33" s="57" t="str">
        <f t="shared" ref="CV33:CV39" si="371">IF(BY29="biceps",CA29*CB29*CD29,"")</f>
        <v/>
      </c>
      <c r="CW33" s="57" t="str">
        <f t="shared" ref="CW33:CW39" si="372">IF(BY29="triceps",CA29,"")</f>
        <v/>
      </c>
      <c r="CX33" s="57" t="str">
        <f t="shared" ref="CX33:CX39" si="373">IF(BY29="triceps",CA29*CB29*CD29,"")</f>
        <v/>
      </c>
      <c r="CY33" s="57" t="str">
        <f t="shared" ref="CY33:CY39" si="374">IF(BY29="quads",CA29,"")</f>
        <v/>
      </c>
      <c r="CZ33" s="57" t="str">
        <f t="shared" ref="CZ33:CZ39" si="375">IF(BY29="quads",CA29*CB29*CD29,"")</f>
        <v/>
      </c>
      <c r="DA33" s="57" t="str">
        <f t="shared" ref="DA33:DA39" si="376">IF(BY29="ischios",CA29,"")</f>
        <v/>
      </c>
      <c r="DB33" s="57" t="str">
        <f t="shared" ref="DB33:DB39" si="377">IF(BY29="ischios",CA29*CB29*CD29,"")</f>
        <v/>
      </c>
      <c r="DC33" s="57" t="str">
        <f t="shared" ref="DC33:DC39" si="378">IF(BY29="fessier",CA29,"")</f>
        <v/>
      </c>
      <c r="DD33" s="57" t="str">
        <f t="shared" ref="DD33:DD39" si="379">IF(BY29="fessier",CA29*CB29*CD29,"")</f>
        <v/>
      </c>
      <c r="DE33" s="57" t="str">
        <f t="shared" ref="DE33:DE39" si="380">IF(BY29="mollets",CA29,"")</f>
        <v/>
      </c>
      <c r="DF33" s="57" t="str">
        <f t="shared" ref="DF33:DF39" si="381">IF(BY29="mollets",CA29*CB29*CD29,"")</f>
        <v/>
      </c>
      <c r="DG33" s="27"/>
      <c r="DH33" s="78" t="str">
        <f t="shared" ref="DH33:DL33" si="305">DH24</f>
        <v>Renfo</v>
      </c>
      <c r="DI33" s="79" t="str">
        <f t="shared" si="305"/>
        <v/>
      </c>
      <c r="DJ33" s="80" t="str">
        <f t="shared" si="305"/>
        <v>Back extension (coté)</v>
      </c>
      <c r="DK33" s="81">
        <f t="shared" si="305"/>
        <v>3</v>
      </c>
      <c r="DL33" s="85">
        <f t="shared" si="305"/>
        <v>12</v>
      </c>
      <c r="DM33" s="119" t="str">
        <f t="shared" si="306"/>
        <v/>
      </c>
      <c r="DN33" s="34" t="str">
        <f>IF(DH33="Squat",IF(DM33&gt;10,MROUND((DM33/100*SQMAX),2.5)," "),IF(DH33="Bench",IF(DM33&gt;10,MROUND((DM33/100*BNMAX),2.5)," "),IF(DH33="Deadlift",IF(DM33&gt;10,MROUND((DM33/100*DLMAX),2.5)," ")," ")))</f>
        <v> </v>
      </c>
      <c r="DO33" s="26"/>
      <c r="DP33" s="66" t="str">
        <f>IFERROR((DN33/VLOOKUP(DO33,'RPE vs. %'!$D$3:$P$11,DL33+1,FALSE)),"")</f>
        <v/>
      </c>
      <c r="DQ33" s="67"/>
      <c r="DR33" s="27"/>
      <c r="DS33" s="27"/>
      <c r="DT33" s="56">
        <f t="shared" ref="DT33:DT39" si="383">IF(DH29="Squat",DK29,"")</f>
        <v>3</v>
      </c>
      <c r="DU33" s="56">
        <f t="shared" ref="DU33:DU39" si="384">IF(DH29="Squat",DK29*DL29*DN29,"")</f>
        <v>1575</v>
      </c>
      <c r="DV33" s="57" t="str">
        <f t="shared" ref="DV33:DV39" si="385">IF(DH29="Bench",DK29,"")</f>
        <v/>
      </c>
      <c r="DW33" s="57" t="str">
        <f t="shared" ref="DW33:DW39" si="386">IF(DH29="Bench",DK29*DL29*DN29,"")</f>
        <v/>
      </c>
      <c r="DX33" s="57" t="str">
        <f t="shared" ref="DX33:DX39" si="387">IF(DH29="Deadlift",DK29,"")</f>
        <v/>
      </c>
      <c r="DY33" s="57" t="str">
        <f t="shared" ref="DY33:DY39" si="388">IF(DH29="Deadlift",DK29*DL29*DN29,"")</f>
        <v/>
      </c>
      <c r="DZ33" s="57" t="str">
        <f t="shared" ref="DZ33:DZ39" si="389">IF(DI29="pecs",DK29,"")</f>
        <v/>
      </c>
      <c r="EA33" s="57" t="str">
        <f t="shared" ref="EA33:EA39" si="390">IF(DI29="pecs",DK29*DL29*DN29,"")</f>
        <v/>
      </c>
      <c r="EB33" s="57" t="str">
        <f t="shared" ref="EB33:EB39" si="391">IF(DI29="dos",DK29,"")</f>
        <v/>
      </c>
      <c r="EC33" s="57" t="str">
        <f t="shared" ref="EC33:EC39" si="392">IF(DI29="dos",DK29*DL29*DN29,"")</f>
        <v/>
      </c>
      <c r="ED33" s="57" t="str">
        <f t="shared" ref="ED33:ED39" si="393">IF(DI29="épaules",DK29,"")</f>
        <v/>
      </c>
      <c r="EE33" s="57" t="str">
        <f t="shared" ref="EE33:EE39" si="394">IF(DI29="épaules",DK29*DL29*DN29,"")</f>
        <v/>
      </c>
      <c r="EF33" s="57" t="str">
        <f t="shared" ref="EF33:EF39" si="395">IF(DI29="biceps",DK29,"")</f>
        <v/>
      </c>
      <c r="EG33" s="57" t="str">
        <f t="shared" ref="EG33:EG39" si="396">IF(DI29="biceps",DK29*DL29*DN29,"")</f>
        <v/>
      </c>
      <c r="EH33" s="57" t="str">
        <f t="shared" ref="EH33:EH39" si="397">IF(DI29="triceps",DK29,"")</f>
        <v/>
      </c>
      <c r="EI33" s="57" t="str">
        <f t="shared" ref="EI33:EI39" si="398">IF(DI29="triceps",DK29*DL29*DN29,"")</f>
        <v/>
      </c>
      <c r="EJ33" s="57" t="str">
        <f t="shared" ref="EJ33:EJ39" si="399">IF(DI29="quads",DK29,"")</f>
        <v/>
      </c>
      <c r="EK33" s="57" t="str">
        <f t="shared" ref="EK33:EK39" si="400">IF(DI29="quads",DK29*DL29*DN29,"")</f>
        <v/>
      </c>
      <c r="EL33" s="57" t="str">
        <f t="shared" ref="EL33:EL39" si="401">IF(DI29="ischios",DK29,"")</f>
        <v/>
      </c>
      <c r="EM33" s="57" t="str">
        <f t="shared" ref="EM33:EM39" si="402">IF(DI29="ischios",DK29*DL29*DN29,"")</f>
        <v/>
      </c>
      <c r="EN33" s="57" t="str">
        <f t="shared" ref="EN33:EN39" si="403">IF(DI29="fessier",DK29,"")</f>
        <v/>
      </c>
      <c r="EO33" s="57" t="str">
        <f t="shared" ref="EO33:EO39" si="404">IF(DI29="fessier",DK29*DL29*DN29,"")</f>
        <v/>
      </c>
      <c r="EP33" s="57" t="str">
        <f t="shared" ref="EP33:EP39" si="405">IF(DI29="mollets",DK29,"")</f>
        <v/>
      </c>
      <c r="EQ33" s="57" t="str">
        <f t="shared" ref="EQ33:EQ39" si="406">IF(DI29="mollets",DK29*DL29*DN29,"")</f>
        <v/>
      </c>
      <c r="ER33" s="56" t="str">
        <f t="shared" ref="ER33:ER39" si="407">IF(#REF!="Squat",#REF!,"")</f>
        <v>#REF!</v>
      </c>
      <c r="ES33" s="56" t="str">
        <f t="shared" ref="ES33:ES39" si="408">IF(#REF!="Squat",#REF!*#REF!*#REF!,"")</f>
        <v>#REF!</v>
      </c>
      <c r="ET33" s="56" t="str">
        <f t="shared" ref="ET33:ET39" si="409">IF(#REF!="Bench",#REF!,"")</f>
        <v>#REF!</v>
      </c>
      <c r="EU33" s="56" t="str">
        <f t="shared" ref="EU33:EU39" si="410">IF(#REF!="Bench",#REF!*#REF!*#REF!,"")</f>
        <v>#REF!</v>
      </c>
      <c r="EV33" s="56" t="str">
        <f t="shared" ref="EV33:EV39" si="411">IF(#REF!="Deadlift",#REF!,"")</f>
        <v>#REF!</v>
      </c>
      <c r="EW33" s="56" t="str">
        <f t="shared" ref="EW33:EW39" si="412">IF(#REF!="Deadlift",#REF!*#REF!*#REF!,"")</f>
        <v>#REF!</v>
      </c>
      <c r="EX33" s="56" t="str">
        <f t="shared" ref="EX33:EX39" si="413">IF(#REF!="pecs",#REF!,"")</f>
        <v>#REF!</v>
      </c>
      <c r="EY33" s="56" t="str">
        <f t="shared" ref="EY33:EY39" si="414">IF(#REF!="pecs",#REF!*#REF!*#REF!,"")</f>
        <v>#REF!</v>
      </c>
      <c r="EZ33" s="56" t="str">
        <f t="shared" ref="EZ33:EZ39" si="415">IF(#REF!="dos",#REF!,"")</f>
        <v>#REF!</v>
      </c>
      <c r="FA33" s="56" t="str">
        <f t="shared" ref="FA33:FA39" si="416">IF(#REF!="dos",#REF!*#REF!*#REF!,"")</f>
        <v>#REF!</v>
      </c>
      <c r="FB33" s="56" t="str">
        <f t="shared" ref="FB33:FB39" si="417">IF(#REF!="épaules",#REF!,"")</f>
        <v>#REF!</v>
      </c>
      <c r="FC33" s="56" t="str">
        <f t="shared" ref="FC33:FC39" si="418">IF(#REF!="épaules",#REF!*#REF!*#REF!,"")</f>
        <v>#REF!</v>
      </c>
      <c r="FD33" s="56" t="str">
        <f t="shared" ref="FD33:FD39" si="419">IF(#REF!="biceps",#REF!,"")</f>
        <v>#REF!</v>
      </c>
      <c r="FE33" s="56" t="str">
        <f t="shared" ref="FE33:FE39" si="420">IF(#REF!="biceps",#REF!*#REF!*#REF!,"")</f>
        <v>#REF!</v>
      </c>
      <c r="FF33" s="56" t="str">
        <f t="shared" ref="FF33:FF39" si="421">IF(#REF!="triceps",#REF!,"")</f>
        <v>#REF!</v>
      </c>
      <c r="FG33" s="56" t="str">
        <f t="shared" ref="FG33:FG39" si="422">IF(#REF!="triceps",#REF!*#REF!*#REF!,"")</f>
        <v>#REF!</v>
      </c>
      <c r="FH33" s="56" t="str">
        <f t="shared" ref="FH33:FH39" si="423">IF(#REF!="quads",#REF!,"")</f>
        <v>#REF!</v>
      </c>
      <c r="FI33" s="56" t="str">
        <f t="shared" ref="FI33:FI39" si="424">IF(#REF!="quads",#REF!*#REF!*#REF!,"")</f>
        <v>#REF!</v>
      </c>
      <c r="FJ33" s="56" t="str">
        <f t="shared" ref="FJ33:FJ39" si="425">IF(#REF!="ischios",#REF!,"")</f>
        <v>#REF!</v>
      </c>
      <c r="FK33" s="56" t="str">
        <f t="shared" ref="FK33:FK39" si="426">IF(#REF!="ischios",#REF!*#REF!*#REF!,"")</f>
        <v>#REF!</v>
      </c>
      <c r="FL33" s="56" t="str">
        <f t="shared" ref="FL33:FL39" si="427">IF(#REF!="fessier",#REF!,"")</f>
        <v>#REF!</v>
      </c>
      <c r="FM33" s="56" t="str">
        <f t="shared" ref="FM33:FM39" si="428">IF(#REF!="fessier",#REF!*#REF!*#REF!,"")</f>
        <v>#REF!</v>
      </c>
      <c r="FN33" s="56" t="str">
        <f t="shared" ref="FN33:FN39" si="429">IF(#REF!="mollets",#REF!,"")</f>
        <v>#REF!</v>
      </c>
      <c r="FO33" s="56" t="str">
        <f t="shared" ref="FO33:FO39" si="430">IF(#REF!="mollets",#REF!*#REF!*#REF!,"")</f>
        <v>#REF!</v>
      </c>
    </row>
    <row r="34">
      <c r="A34" s="27"/>
      <c r="C34" s="46"/>
      <c r="D34" s="79" t="str">
        <f t="shared" ref="D34:H34" si="307">D25</f>
        <v>Renfo</v>
      </c>
      <c r="E34" s="79" t="str">
        <f t="shared" si="307"/>
        <v/>
      </c>
      <c r="F34" s="79" t="str">
        <f t="shared" si="307"/>
        <v>élévation lateral</v>
      </c>
      <c r="G34" s="18">
        <f t="shared" si="307"/>
        <v>3</v>
      </c>
      <c r="H34" s="79">
        <f t="shared" si="307"/>
        <v>12</v>
      </c>
      <c r="I34" s="1" t="str">
        <f t="shared" si="300"/>
        <v/>
      </c>
      <c r="J34" s="34" t="str">
        <f>IF(D34="Squat",IF(I34&gt;10,MROUND((I34/100*SQMAX),2.5)," "),IF(D34="Bench",IF(I34&gt;10,MROUND((I34/100*BNMAX),2.5)," "),IF(D34="Deadlift",IF(I34&gt;10,MROUND((I34/100*DLMAX),2.5)," ")," ")))</f>
        <v> </v>
      </c>
      <c r="K34" s="26"/>
      <c r="L34" s="66" t="str">
        <f>IFERROR((J34/VLOOKUP(K34,'RPE vs. %'!$D$3:$P$11,H34+1,FALSE)),"")</f>
        <v/>
      </c>
      <c r="M34" s="67"/>
      <c r="N34" s="27"/>
      <c r="O34" s="56">
        <f t="shared" si="308"/>
        <v>1</v>
      </c>
      <c r="P34" s="56">
        <f t="shared" si="309"/>
        <v>775</v>
      </c>
      <c r="Q34" s="57" t="str">
        <f t="shared" si="310"/>
        <v/>
      </c>
      <c r="R34" s="57" t="str">
        <f t="shared" si="311"/>
        <v/>
      </c>
      <c r="S34" s="57" t="str">
        <f t="shared" si="312"/>
        <v/>
      </c>
      <c r="T34" s="57" t="str">
        <f t="shared" si="313"/>
        <v/>
      </c>
      <c r="U34" s="57" t="str">
        <f t="shared" si="314"/>
        <v/>
      </c>
      <c r="V34" s="57" t="str">
        <f t="shared" si="315"/>
        <v/>
      </c>
      <c r="W34" s="57" t="str">
        <f t="shared" si="316"/>
        <v/>
      </c>
      <c r="X34" s="57" t="str">
        <f t="shared" si="317"/>
        <v/>
      </c>
      <c r="Y34" s="57" t="str">
        <f t="shared" si="318"/>
        <v/>
      </c>
      <c r="Z34" s="57" t="str">
        <f t="shared" si="319"/>
        <v/>
      </c>
      <c r="AA34" s="57" t="str">
        <f t="shared" si="320"/>
        <v/>
      </c>
      <c r="AB34" s="57" t="str">
        <f t="shared" si="321"/>
        <v/>
      </c>
      <c r="AC34" s="57" t="str">
        <f t="shared" si="322"/>
        <v/>
      </c>
      <c r="AD34" s="57" t="str">
        <f t="shared" si="323"/>
        <v/>
      </c>
      <c r="AE34" s="57" t="str">
        <f t="shared" si="324"/>
        <v/>
      </c>
      <c r="AF34" s="57" t="str">
        <f t="shared" si="325"/>
        <v/>
      </c>
      <c r="AG34" s="57" t="str">
        <f t="shared" si="326"/>
        <v/>
      </c>
      <c r="AH34" s="57" t="str">
        <f t="shared" si="327"/>
        <v/>
      </c>
      <c r="AI34" s="57" t="str">
        <f t="shared" si="328"/>
        <v/>
      </c>
      <c r="AJ34" s="57" t="str">
        <f t="shared" si="329"/>
        <v/>
      </c>
      <c r="AK34" s="57" t="str">
        <f t="shared" si="330"/>
        <v/>
      </c>
      <c r="AL34" s="57" t="str">
        <f t="shared" si="331"/>
        <v/>
      </c>
      <c r="AM34" s="27"/>
      <c r="AN34" s="78" t="str">
        <f t="shared" ref="AN34:AR34" si="332">AN25</f>
        <v>Renfo</v>
      </c>
      <c r="AO34" s="79" t="str">
        <f t="shared" si="332"/>
        <v/>
      </c>
      <c r="AP34" s="80" t="str">
        <f t="shared" si="332"/>
        <v>Traction</v>
      </c>
      <c r="AQ34" s="81">
        <f t="shared" si="332"/>
        <v>3</v>
      </c>
      <c r="AR34" s="85">
        <f t="shared" si="332"/>
        <v>12</v>
      </c>
      <c r="AS34" s="117" t="str">
        <f t="shared" si="302"/>
        <v/>
      </c>
      <c r="AT34" s="34" t="str">
        <f>IF(AN34="Squat",IF(AS34&gt;10,MROUND((AS34/100*SQMAX),2.5)," "),IF(AN34="Bench",IF(AS34&gt;10,MROUND((AS34/100*BNMAX),2.5)," "),IF(AN34="Deadlift",IF(AS34&gt;10,MROUND((AS34/100*DLMAX),2.5)," ")," ")))</f>
        <v> </v>
      </c>
      <c r="AU34" s="26"/>
      <c r="AV34" s="66" t="str">
        <f>IFERROR((AT34/VLOOKUP(AU34,'RPE vs. %'!$D$3:$P$11,AR34+1,FALSE)),"")</f>
        <v/>
      </c>
      <c r="AW34" s="67"/>
      <c r="AX34" s="27"/>
      <c r="AY34" s="57" t="str">
        <f t="shared" si="333"/>
        <v/>
      </c>
      <c r="AZ34" s="57" t="str">
        <f t="shared" si="334"/>
        <v/>
      </c>
      <c r="BA34" s="57" t="str">
        <f t="shared" si="335"/>
        <v/>
      </c>
      <c r="BB34" s="57" t="str">
        <f t="shared" si="336"/>
        <v/>
      </c>
      <c r="BC34" s="56">
        <f t="shared" si="337"/>
        <v>2</v>
      </c>
      <c r="BD34" s="56">
        <f t="shared" si="338"/>
        <v>1650</v>
      </c>
      <c r="BE34" s="57" t="str">
        <f t="shared" si="339"/>
        <v/>
      </c>
      <c r="BF34" s="57" t="str">
        <f t="shared" si="340"/>
        <v/>
      </c>
      <c r="BG34" s="57" t="str">
        <f t="shared" si="341"/>
        <v/>
      </c>
      <c r="BH34" s="57" t="str">
        <f t="shared" si="342"/>
        <v/>
      </c>
      <c r="BI34" s="57" t="str">
        <f t="shared" si="343"/>
        <v/>
      </c>
      <c r="BJ34" s="57" t="str">
        <f t="shared" si="344"/>
        <v/>
      </c>
      <c r="BK34" s="57" t="str">
        <f t="shared" si="345"/>
        <v/>
      </c>
      <c r="BL34" s="57" t="str">
        <f t="shared" si="346"/>
        <v/>
      </c>
      <c r="BM34" s="57" t="str">
        <f t="shared" si="347"/>
        <v/>
      </c>
      <c r="BN34" s="57" t="str">
        <f t="shared" si="348"/>
        <v/>
      </c>
      <c r="BO34" s="57" t="str">
        <f t="shared" si="349"/>
        <v/>
      </c>
      <c r="BP34" s="57" t="str">
        <f t="shared" si="350"/>
        <v/>
      </c>
      <c r="BQ34" s="57" t="str">
        <f t="shared" si="351"/>
        <v/>
      </c>
      <c r="BR34" s="57" t="str">
        <f t="shared" si="352"/>
        <v/>
      </c>
      <c r="BS34" s="57" t="str">
        <f t="shared" si="353"/>
        <v/>
      </c>
      <c r="BT34" s="57" t="str">
        <f t="shared" si="354"/>
        <v/>
      </c>
      <c r="BU34" s="57" t="str">
        <f t="shared" si="355"/>
        <v/>
      </c>
      <c r="BV34" s="57" t="str">
        <f t="shared" si="356"/>
        <v/>
      </c>
      <c r="BW34" s="27"/>
      <c r="BX34" s="78" t="str">
        <f t="shared" ref="BX34:CB34" si="357">BX25</f>
        <v>Renfo</v>
      </c>
      <c r="BY34" s="79" t="str">
        <f t="shared" si="357"/>
        <v/>
      </c>
      <c r="BZ34" s="80" t="str">
        <f t="shared" si="357"/>
        <v>Extension triceps</v>
      </c>
      <c r="CA34" s="81">
        <f t="shared" si="357"/>
        <v>3</v>
      </c>
      <c r="CB34" s="85">
        <f t="shared" si="357"/>
        <v>15</v>
      </c>
      <c r="CC34" s="117" t="str">
        <f t="shared" si="304"/>
        <v/>
      </c>
      <c r="CD34" s="34" t="str">
        <f>IF(BX34="Squat",IF(CC34&gt;10,MROUND((CC34/100*SQMAX),2.5)," "),IF(BX34="Bench",IF(CC34&gt;10,MROUND((CC34/100*BNMAX),2.5)," "),IF(BX34="Deadlift",IF(CC34&gt;10,MROUND((CC34/100*DLMAX),2.5)," ")," ")))</f>
        <v> </v>
      </c>
      <c r="CE34" s="26"/>
      <c r="CF34" s="66" t="str">
        <f>IFERROR((CD34/VLOOKUP(CE34,'RPE vs. %'!$D$3:$P$11,CB34+1,FALSE)),"")</f>
        <v/>
      </c>
      <c r="CG34" s="67"/>
      <c r="CH34" s="27"/>
      <c r="CI34" s="57" t="str">
        <f t="shared" si="358"/>
        <v/>
      </c>
      <c r="CJ34" s="57" t="str">
        <f t="shared" si="359"/>
        <v/>
      </c>
      <c r="CK34" s="56">
        <f t="shared" si="360"/>
        <v>4</v>
      </c>
      <c r="CL34" s="56">
        <f t="shared" si="361"/>
        <v>1040</v>
      </c>
      <c r="CM34" s="57" t="str">
        <f t="shared" si="362"/>
        <v/>
      </c>
      <c r="CN34" s="57" t="str">
        <f t="shared" si="363"/>
        <v/>
      </c>
      <c r="CO34" s="57" t="str">
        <f t="shared" si="364"/>
        <v/>
      </c>
      <c r="CP34" s="57" t="str">
        <f t="shared" si="365"/>
        <v/>
      </c>
      <c r="CQ34" s="57" t="str">
        <f t="shared" si="366"/>
        <v/>
      </c>
      <c r="CR34" s="57" t="str">
        <f t="shared" si="367"/>
        <v/>
      </c>
      <c r="CS34" s="57" t="str">
        <f t="shared" si="368"/>
        <v/>
      </c>
      <c r="CT34" s="57" t="str">
        <f t="shared" si="369"/>
        <v/>
      </c>
      <c r="CU34" s="57" t="str">
        <f t="shared" si="370"/>
        <v/>
      </c>
      <c r="CV34" s="57" t="str">
        <f t="shared" si="371"/>
        <v/>
      </c>
      <c r="CW34" s="57" t="str">
        <f t="shared" si="372"/>
        <v/>
      </c>
      <c r="CX34" s="57" t="str">
        <f t="shared" si="373"/>
        <v/>
      </c>
      <c r="CY34" s="57" t="str">
        <f t="shared" si="374"/>
        <v/>
      </c>
      <c r="CZ34" s="57" t="str">
        <f t="shared" si="375"/>
        <v/>
      </c>
      <c r="DA34" s="57" t="str">
        <f t="shared" si="376"/>
        <v/>
      </c>
      <c r="DB34" s="57" t="str">
        <f t="shared" si="377"/>
        <v/>
      </c>
      <c r="DC34" s="57" t="str">
        <f t="shared" si="378"/>
        <v/>
      </c>
      <c r="DD34" s="57" t="str">
        <f t="shared" si="379"/>
        <v/>
      </c>
      <c r="DE34" s="57" t="str">
        <f t="shared" si="380"/>
        <v/>
      </c>
      <c r="DF34" s="57" t="str">
        <f t="shared" si="381"/>
        <v/>
      </c>
      <c r="DG34" s="27"/>
      <c r="DH34" s="79" t="str">
        <f t="shared" ref="DH34:DL34" si="382">DH25</f>
        <v/>
      </c>
      <c r="DI34" s="79" t="str">
        <f t="shared" si="382"/>
        <v/>
      </c>
      <c r="DJ34" s="79" t="str">
        <f t="shared" si="382"/>
        <v/>
      </c>
      <c r="DK34" s="18" t="str">
        <f t="shared" si="382"/>
        <v/>
      </c>
      <c r="DL34" s="79" t="str">
        <f t="shared" si="382"/>
        <v/>
      </c>
      <c r="DM34" s="119" t="str">
        <f t="shared" si="306"/>
        <v/>
      </c>
      <c r="DN34" s="34" t="str">
        <f>IF(DH34="Squat",IF(DM34&gt;10,MROUND((DM34/100*SQMAX),2.5)," "),IF(DH34="Bench",IF(DM34&gt;10,MROUND((DM34/100*BNMAX),2.5)," "),IF(DH34="Deadlift",IF(DM34&gt;10,MROUND((DM34/100*DLMAX),2.5)," ")," ")))</f>
        <v> </v>
      </c>
      <c r="DO34" s="26"/>
      <c r="DP34" s="66" t="str">
        <f>IFERROR((DN34/VLOOKUP(DO34,'RPE vs. %'!$D$3:$P$11,DL34+1,FALSE)),"")</f>
        <v/>
      </c>
      <c r="DQ34" s="67"/>
      <c r="DR34" s="27"/>
      <c r="DS34" s="27"/>
      <c r="DT34" s="57" t="str">
        <f t="shared" si="383"/>
        <v/>
      </c>
      <c r="DU34" s="57" t="str">
        <f t="shared" si="384"/>
        <v/>
      </c>
      <c r="DV34" s="56">
        <f t="shared" si="385"/>
        <v>3</v>
      </c>
      <c r="DW34" s="56">
        <f t="shared" si="386"/>
        <v>1102.5</v>
      </c>
      <c r="DX34" s="57" t="str">
        <f t="shared" si="387"/>
        <v/>
      </c>
      <c r="DY34" s="57" t="str">
        <f t="shared" si="388"/>
        <v/>
      </c>
      <c r="DZ34" s="57" t="str">
        <f t="shared" si="389"/>
        <v/>
      </c>
      <c r="EA34" s="57" t="str">
        <f t="shared" si="390"/>
        <v/>
      </c>
      <c r="EB34" s="57" t="str">
        <f t="shared" si="391"/>
        <v/>
      </c>
      <c r="EC34" s="57" t="str">
        <f t="shared" si="392"/>
        <v/>
      </c>
      <c r="ED34" s="57" t="str">
        <f t="shared" si="393"/>
        <v/>
      </c>
      <c r="EE34" s="57" t="str">
        <f t="shared" si="394"/>
        <v/>
      </c>
      <c r="EF34" s="57" t="str">
        <f t="shared" si="395"/>
        <v/>
      </c>
      <c r="EG34" s="57" t="str">
        <f t="shared" si="396"/>
        <v/>
      </c>
      <c r="EH34" s="57" t="str">
        <f t="shared" si="397"/>
        <v/>
      </c>
      <c r="EI34" s="57" t="str">
        <f t="shared" si="398"/>
        <v/>
      </c>
      <c r="EJ34" s="57" t="str">
        <f t="shared" si="399"/>
        <v/>
      </c>
      <c r="EK34" s="57" t="str">
        <f t="shared" si="400"/>
        <v/>
      </c>
      <c r="EL34" s="57" t="str">
        <f t="shared" si="401"/>
        <v/>
      </c>
      <c r="EM34" s="57" t="str">
        <f t="shared" si="402"/>
        <v/>
      </c>
      <c r="EN34" s="57" t="str">
        <f t="shared" si="403"/>
        <v/>
      </c>
      <c r="EO34" s="57" t="str">
        <f t="shared" si="404"/>
        <v/>
      </c>
      <c r="EP34" s="57" t="str">
        <f t="shared" si="405"/>
        <v/>
      </c>
      <c r="EQ34" s="57" t="str">
        <f t="shared" si="406"/>
        <v/>
      </c>
      <c r="ER34" s="56" t="str">
        <f t="shared" si="407"/>
        <v>#REF!</v>
      </c>
      <c r="ES34" s="56" t="str">
        <f t="shared" si="408"/>
        <v>#REF!</v>
      </c>
      <c r="ET34" s="56" t="str">
        <f t="shared" si="409"/>
        <v>#REF!</v>
      </c>
      <c r="EU34" s="56" t="str">
        <f t="shared" si="410"/>
        <v>#REF!</v>
      </c>
      <c r="EV34" s="56" t="str">
        <f t="shared" si="411"/>
        <v>#REF!</v>
      </c>
      <c r="EW34" s="56" t="str">
        <f t="shared" si="412"/>
        <v>#REF!</v>
      </c>
      <c r="EX34" s="56" t="str">
        <f t="shared" si="413"/>
        <v>#REF!</v>
      </c>
      <c r="EY34" s="56" t="str">
        <f t="shared" si="414"/>
        <v>#REF!</v>
      </c>
      <c r="EZ34" s="56" t="str">
        <f t="shared" si="415"/>
        <v>#REF!</v>
      </c>
      <c r="FA34" s="56" t="str">
        <f t="shared" si="416"/>
        <v>#REF!</v>
      </c>
      <c r="FB34" s="56" t="str">
        <f t="shared" si="417"/>
        <v>#REF!</v>
      </c>
      <c r="FC34" s="56" t="str">
        <f t="shared" si="418"/>
        <v>#REF!</v>
      </c>
      <c r="FD34" s="56" t="str">
        <f t="shared" si="419"/>
        <v>#REF!</v>
      </c>
      <c r="FE34" s="56" t="str">
        <f t="shared" si="420"/>
        <v>#REF!</v>
      </c>
      <c r="FF34" s="56" t="str">
        <f t="shared" si="421"/>
        <v>#REF!</v>
      </c>
      <c r="FG34" s="56" t="str">
        <f t="shared" si="422"/>
        <v>#REF!</v>
      </c>
      <c r="FH34" s="56" t="str">
        <f t="shared" si="423"/>
        <v>#REF!</v>
      </c>
      <c r="FI34" s="56" t="str">
        <f t="shared" si="424"/>
        <v>#REF!</v>
      </c>
      <c r="FJ34" s="56" t="str">
        <f t="shared" si="425"/>
        <v>#REF!</v>
      </c>
      <c r="FK34" s="56" t="str">
        <f t="shared" si="426"/>
        <v>#REF!</v>
      </c>
      <c r="FL34" s="56" t="str">
        <f t="shared" si="427"/>
        <v>#REF!</v>
      </c>
      <c r="FM34" s="56" t="str">
        <f t="shared" si="428"/>
        <v>#REF!</v>
      </c>
      <c r="FN34" s="56" t="str">
        <f t="shared" si="429"/>
        <v>#REF!</v>
      </c>
      <c r="FO34" s="56" t="str">
        <f t="shared" si="430"/>
        <v>#REF!</v>
      </c>
    </row>
    <row r="35">
      <c r="A35" s="27"/>
      <c r="C35" s="46"/>
      <c r="D35" s="79" t="str">
        <f t="shared" ref="D35:H35" si="431">D26</f>
        <v/>
      </c>
      <c r="E35" s="79" t="str">
        <f t="shared" si="431"/>
        <v/>
      </c>
      <c r="F35" s="79" t="str">
        <f t="shared" si="431"/>
        <v/>
      </c>
      <c r="G35" s="18" t="str">
        <f t="shared" si="431"/>
        <v/>
      </c>
      <c r="H35" s="79" t="str">
        <f t="shared" si="431"/>
        <v/>
      </c>
      <c r="I35" s="1" t="str">
        <f t="shared" si="300"/>
        <v/>
      </c>
      <c r="J35" s="34" t="str">
        <f>IF(D35="Squat",IF(I35&gt;10,MROUND((I35/100*SQMAX),2.5)," "),IF(D35="Bench",IF(I35&gt;10,MROUND((I35/100*BNMAX),2.5)," "),IF(D35="Deadlift",IF(I35&gt;10,MROUND((I35/100*DLMAX),2.5)," ")," ")))</f>
        <v> </v>
      </c>
      <c r="K35" s="26"/>
      <c r="L35" s="88" t="str">
        <f>IFERROR((J35/VLOOKUP(K35,'RPE vs. %'!$D$3:$P$11,H35+1,FALSE)),"")</f>
        <v/>
      </c>
      <c r="M35" s="89"/>
      <c r="N35" s="27"/>
      <c r="O35" s="57" t="str">
        <f t="shared" si="308"/>
        <v/>
      </c>
      <c r="P35" s="57" t="str">
        <f t="shared" si="309"/>
        <v/>
      </c>
      <c r="Q35" s="56">
        <f t="shared" si="310"/>
        <v>3</v>
      </c>
      <c r="R35" s="56">
        <f t="shared" si="311"/>
        <v>2580</v>
      </c>
      <c r="S35" s="57" t="str">
        <f t="shared" si="312"/>
        <v/>
      </c>
      <c r="T35" s="57" t="str">
        <f t="shared" si="313"/>
        <v/>
      </c>
      <c r="U35" s="57" t="str">
        <f t="shared" si="314"/>
        <v/>
      </c>
      <c r="V35" s="57" t="str">
        <f t="shared" si="315"/>
        <v/>
      </c>
      <c r="W35" s="57" t="str">
        <f t="shared" si="316"/>
        <v/>
      </c>
      <c r="X35" s="57" t="str">
        <f t="shared" si="317"/>
        <v/>
      </c>
      <c r="Y35" s="57" t="str">
        <f t="shared" si="318"/>
        <v/>
      </c>
      <c r="Z35" s="57" t="str">
        <f t="shared" si="319"/>
        <v/>
      </c>
      <c r="AA35" s="57" t="str">
        <f t="shared" si="320"/>
        <v/>
      </c>
      <c r="AB35" s="57" t="str">
        <f t="shared" si="321"/>
        <v/>
      </c>
      <c r="AC35" s="57" t="str">
        <f t="shared" si="322"/>
        <v/>
      </c>
      <c r="AD35" s="57" t="str">
        <f t="shared" si="323"/>
        <v/>
      </c>
      <c r="AE35" s="57" t="str">
        <f t="shared" si="324"/>
        <v/>
      </c>
      <c r="AF35" s="57" t="str">
        <f t="shared" si="325"/>
        <v/>
      </c>
      <c r="AG35" s="57" t="str">
        <f t="shared" si="326"/>
        <v/>
      </c>
      <c r="AH35" s="57" t="str">
        <f t="shared" si="327"/>
        <v/>
      </c>
      <c r="AI35" s="57" t="str">
        <f t="shared" si="328"/>
        <v/>
      </c>
      <c r="AJ35" s="57" t="str">
        <f t="shared" si="329"/>
        <v/>
      </c>
      <c r="AK35" s="57" t="str">
        <f t="shared" si="330"/>
        <v/>
      </c>
      <c r="AL35" s="57" t="str">
        <f t="shared" si="331"/>
        <v/>
      </c>
      <c r="AM35" s="27"/>
      <c r="AN35" s="79" t="str">
        <f t="shared" ref="AN35:AR35" si="432">AN26</f>
        <v/>
      </c>
      <c r="AO35" s="79" t="str">
        <f t="shared" si="432"/>
        <v/>
      </c>
      <c r="AP35" s="79" t="str">
        <f t="shared" si="432"/>
        <v/>
      </c>
      <c r="AQ35" s="18" t="str">
        <f t="shared" si="432"/>
        <v/>
      </c>
      <c r="AR35" s="79" t="str">
        <f t="shared" si="432"/>
        <v/>
      </c>
      <c r="AS35" s="117" t="str">
        <f t="shared" si="302"/>
        <v/>
      </c>
      <c r="AT35" s="34" t="str">
        <f>IF(AN35="Squat",IF(AS35&gt;10,MROUND((AS35/100*SQMAX),2.5)," "),IF(AN35="Bench",IF(AS35&gt;10,MROUND((AS35/100*BNMAX),2.5)," "),IF(AN35="Deadlift",IF(AS35&gt;10,MROUND((AS35/100*DLMAX),2.5)," ")," ")))</f>
        <v> </v>
      </c>
      <c r="AU35" s="26"/>
      <c r="AV35" s="88" t="str">
        <f>IFERROR((AT35/VLOOKUP(AU35,'RPE vs. %'!$D$3:$P$11,AR35+1,FALSE)),"")</f>
        <v/>
      </c>
      <c r="AW35" s="89"/>
      <c r="AX35" s="27"/>
      <c r="AY35" s="57" t="str">
        <f t="shared" si="333"/>
        <v/>
      </c>
      <c r="AZ35" s="57" t="str">
        <f t="shared" si="334"/>
        <v/>
      </c>
      <c r="BA35" s="56">
        <f t="shared" si="335"/>
        <v>3</v>
      </c>
      <c r="BB35" s="56">
        <f t="shared" si="336"/>
        <v>1462.5</v>
      </c>
      <c r="BC35" s="57" t="str">
        <f t="shared" si="337"/>
        <v/>
      </c>
      <c r="BD35" s="57" t="str">
        <f t="shared" si="338"/>
        <v/>
      </c>
      <c r="BE35" s="57" t="str">
        <f t="shared" si="339"/>
        <v/>
      </c>
      <c r="BF35" s="57" t="str">
        <f t="shared" si="340"/>
        <v/>
      </c>
      <c r="BG35" s="57" t="str">
        <f t="shared" si="341"/>
        <v/>
      </c>
      <c r="BH35" s="57" t="str">
        <f t="shared" si="342"/>
        <v/>
      </c>
      <c r="BI35" s="57" t="str">
        <f t="shared" si="343"/>
        <v/>
      </c>
      <c r="BJ35" s="57" t="str">
        <f t="shared" si="344"/>
        <v/>
      </c>
      <c r="BK35" s="57" t="str">
        <f t="shared" si="345"/>
        <v/>
      </c>
      <c r="BL35" s="57" t="str">
        <f t="shared" si="346"/>
        <v/>
      </c>
      <c r="BM35" s="57" t="str">
        <f t="shared" si="347"/>
        <v/>
      </c>
      <c r="BN35" s="57" t="str">
        <f t="shared" si="348"/>
        <v/>
      </c>
      <c r="BO35" s="57" t="str">
        <f t="shared" si="349"/>
        <v/>
      </c>
      <c r="BP35" s="57" t="str">
        <f t="shared" si="350"/>
        <v/>
      </c>
      <c r="BQ35" s="57" t="str">
        <f t="shared" si="351"/>
        <v/>
      </c>
      <c r="BR35" s="57" t="str">
        <f t="shared" si="352"/>
        <v/>
      </c>
      <c r="BS35" s="57" t="str">
        <f t="shared" si="353"/>
        <v/>
      </c>
      <c r="BT35" s="57" t="str">
        <f t="shared" si="354"/>
        <v/>
      </c>
      <c r="BU35" s="57" t="str">
        <f t="shared" si="355"/>
        <v/>
      </c>
      <c r="BV35" s="57" t="str">
        <f t="shared" si="356"/>
        <v/>
      </c>
      <c r="BW35" s="27"/>
      <c r="BX35" s="79" t="str">
        <f t="shared" ref="BX35:CB35" si="433">BX26</f>
        <v/>
      </c>
      <c r="BY35" s="79" t="str">
        <f t="shared" si="433"/>
        <v/>
      </c>
      <c r="BZ35" s="79" t="str">
        <f t="shared" si="433"/>
        <v/>
      </c>
      <c r="CA35" s="18" t="str">
        <f t="shared" si="433"/>
        <v/>
      </c>
      <c r="CB35" s="79" t="str">
        <f t="shared" si="433"/>
        <v/>
      </c>
      <c r="CC35" s="117" t="str">
        <f t="shared" si="304"/>
        <v/>
      </c>
      <c r="CD35" s="34" t="str">
        <f>IF(BX35="Squat",IF(CC35&gt;10,MROUND((CC35/100*SQMAX),2.5)," "),IF(BX35="Bench",IF(CC35&gt;10,MROUND((CC35/100*BNMAX),2.5)," "),IF(BX35="Deadlift",IF(CC35&gt;10,MROUND((CC35/100*DLMAX),2.5)," ")," ")))</f>
        <v> </v>
      </c>
      <c r="CE35" s="26"/>
      <c r="CF35" s="88" t="str">
        <f>IFERROR((CD35/VLOOKUP(CE35,'RPE vs. %'!$D$3:$P$11,CB35+1,FALSE)),"")</f>
        <v/>
      </c>
      <c r="CG35" s="89"/>
      <c r="CH35" s="27"/>
      <c r="CI35" s="57" t="str">
        <f t="shared" si="358"/>
        <v/>
      </c>
      <c r="CJ35" s="57" t="str">
        <f t="shared" si="359"/>
        <v/>
      </c>
      <c r="CK35" s="56">
        <f t="shared" si="360"/>
        <v>2</v>
      </c>
      <c r="CL35" s="56">
        <f t="shared" si="361"/>
        <v>285</v>
      </c>
      <c r="CM35" s="57" t="str">
        <f t="shared" si="362"/>
        <v/>
      </c>
      <c r="CN35" s="57" t="str">
        <f t="shared" si="363"/>
        <v/>
      </c>
      <c r="CO35" s="57" t="str">
        <f t="shared" si="364"/>
        <v/>
      </c>
      <c r="CP35" s="57" t="str">
        <f t="shared" si="365"/>
        <v/>
      </c>
      <c r="CQ35" s="57" t="str">
        <f t="shared" si="366"/>
        <v/>
      </c>
      <c r="CR35" s="57" t="str">
        <f t="shared" si="367"/>
        <v/>
      </c>
      <c r="CS35" s="57" t="str">
        <f t="shared" si="368"/>
        <v/>
      </c>
      <c r="CT35" s="57" t="str">
        <f t="shared" si="369"/>
        <v/>
      </c>
      <c r="CU35" s="57" t="str">
        <f t="shared" si="370"/>
        <v/>
      </c>
      <c r="CV35" s="57" t="str">
        <f t="shared" si="371"/>
        <v/>
      </c>
      <c r="CW35" s="57" t="str">
        <f t="shared" si="372"/>
        <v/>
      </c>
      <c r="CX35" s="57" t="str">
        <f t="shared" si="373"/>
        <v/>
      </c>
      <c r="CY35" s="57" t="str">
        <f t="shared" si="374"/>
        <v/>
      </c>
      <c r="CZ35" s="57" t="str">
        <f t="shared" si="375"/>
        <v/>
      </c>
      <c r="DA35" s="57" t="str">
        <f t="shared" si="376"/>
        <v/>
      </c>
      <c r="DB35" s="57" t="str">
        <f t="shared" si="377"/>
        <v/>
      </c>
      <c r="DC35" s="57" t="str">
        <f t="shared" si="378"/>
        <v/>
      </c>
      <c r="DD35" s="57" t="str">
        <f t="shared" si="379"/>
        <v/>
      </c>
      <c r="DE35" s="57" t="str">
        <f t="shared" si="380"/>
        <v/>
      </c>
      <c r="DF35" s="57" t="str">
        <f t="shared" si="381"/>
        <v/>
      </c>
      <c r="DG35" s="27"/>
      <c r="DH35" s="79" t="str">
        <f t="shared" ref="DH35:DL35" si="434">DH26</f>
        <v/>
      </c>
      <c r="DI35" s="79" t="str">
        <f t="shared" si="434"/>
        <v/>
      </c>
      <c r="DJ35" s="79" t="str">
        <f t="shared" si="434"/>
        <v/>
      </c>
      <c r="DK35" s="18" t="str">
        <f t="shared" si="434"/>
        <v/>
      </c>
      <c r="DL35" s="79" t="str">
        <f t="shared" si="434"/>
        <v/>
      </c>
      <c r="DM35" s="119" t="str">
        <f t="shared" si="306"/>
        <v/>
      </c>
      <c r="DN35" s="34" t="str">
        <f>IF(DH35="Squat",IF(DM35&gt;10,MROUND((DM35/100*SQMAX),2.5)," "),IF(DH35="Bench",IF(DM35&gt;10,MROUND((DM35/100*BNMAX),2.5)," "),IF(DH35="Deadlift",IF(DM35&gt;10,MROUND((DM35/100*DLMAX),2.5)," ")," ")))</f>
        <v> </v>
      </c>
      <c r="DO35" s="26"/>
      <c r="DP35" s="88" t="str">
        <f>IFERROR((DN35/VLOOKUP(DO35,'RPE vs. %'!$D$3:$P$11,DL35+1,FALSE)),"")</f>
        <v/>
      </c>
      <c r="DQ35" s="89"/>
      <c r="DR35" s="27"/>
      <c r="DS35" s="27"/>
      <c r="DT35" s="57" t="str">
        <f t="shared" si="383"/>
        <v/>
      </c>
      <c r="DU35" s="57" t="str">
        <f t="shared" si="384"/>
        <v/>
      </c>
      <c r="DV35" s="57" t="str">
        <f t="shared" si="385"/>
        <v/>
      </c>
      <c r="DW35" s="57" t="str">
        <f t="shared" si="386"/>
        <v/>
      </c>
      <c r="DX35" s="56">
        <f t="shared" si="387"/>
        <v>3</v>
      </c>
      <c r="DY35" s="56">
        <f t="shared" si="388"/>
        <v>1980</v>
      </c>
      <c r="DZ35" s="57" t="str">
        <f t="shared" si="389"/>
        <v/>
      </c>
      <c r="EA35" s="57" t="str">
        <f t="shared" si="390"/>
        <v/>
      </c>
      <c r="EB35" s="57" t="str">
        <f t="shared" si="391"/>
        <v/>
      </c>
      <c r="EC35" s="57" t="str">
        <f t="shared" si="392"/>
        <v/>
      </c>
      <c r="ED35" s="57" t="str">
        <f t="shared" si="393"/>
        <v/>
      </c>
      <c r="EE35" s="57" t="str">
        <f t="shared" si="394"/>
        <v/>
      </c>
      <c r="EF35" s="57" t="str">
        <f t="shared" si="395"/>
        <v/>
      </c>
      <c r="EG35" s="57" t="str">
        <f t="shared" si="396"/>
        <v/>
      </c>
      <c r="EH35" s="57" t="str">
        <f t="shared" si="397"/>
        <v/>
      </c>
      <c r="EI35" s="57" t="str">
        <f t="shared" si="398"/>
        <v/>
      </c>
      <c r="EJ35" s="57" t="str">
        <f t="shared" si="399"/>
        <v/>
      </c>
      <c r="EK35" s="57" t="str">
        <f t="shared" si="400"/>
        <v/>
      </c>
      <c r="EL35" s="57" t="str">
        <f t="shared" si="401"/>
        <v/>
      </c>
      <c r="EM35" s="57" t="str">
        <f t="shared" si="402"/>
        <v/>
      </c>
      <c r="EN35" s="57" t="str">
        <f t="shared" si="403"/>
        <v/>
      </c>
      <c r="EO35" s="57" t="str">
        <f t="shared" si="404"/>
        <v/>
      </c>
      <c r="EP35" s="57" t="str">
        <f t="shared" si="405"/>
        <v/>
      </c>
      <c r="EQ35" s="57" t="str">
        <f t="shared" si="406"/>
        <v/>
      </c>
      <c r="ER35" s="56" t="str">
        <f t="shared" si="407"/>
        <v>#REF!</v>
      </c>
      <c r="ES35" s="56" t="str">
        <f t="shared" si="408"/>
        <v>#REF!</v>
      </c>
      <c r="ET35" s="56" t="str">
        <f t="shared" si="409"/>
        <v>#REF!</v>
      </c>
      <c r="EU35" s="56" t="str">
        <f t="shared" si="410"/>
        <v>#REF!</v>
      </c>
      <c r="EV35" s="56" t="str">
        <f t="shared" si="411"/>
        <v>#REF!</v>
      </c>
      <c r="EW35" s="56" t="str">
        <f t="shared" si="412"/>
        <v>#REF!</v>
      </c>
      <c r="EX35" s="56" t="str">
        <f t="shared" si="413"/>
        <v>#REF!</v>
      </c>
      <c r="EY35" s="56" t="str">
        <f t="shared" si="414"/>
        <v>#REF!</v>
      </c>
      <c r="EZ35" s="56" t="str">
        <f t="shared" si="415"/>
        <v>#REF!</v>
      </c>
      <c r="FA35" s="56" t="str">
        <f t="shared" si="416"/>
        <v>#REF!</v>
      </c>
      <c r="FB35" s="56" t="str">
        <f t="shared" si="417"/>
        <v>#REF!</v>
      </c>
      <c r="FC35" s="56" t="str">
        <f t="shared" si="418"/>
        <v>#REF!</v>
      </c>
      <c r="FD35" s="56" t="str">
        <f t="shared" si="419"/>
        <v>#REF!</v>
      </c>
      <c r="FE35" s="56" t="str">
        <f t="shared" si="420"/>
        <v>#REF!</v>
      </c>
      <c r="FF35" s="56" t="str">
        <f t="shared" si="421"/>
        <v>#REF!</v>
      </c>
      <c r="FG35" s="56" t="str">
        <f t="shared" si="422"/>
        <v>#REF!</v>
      </c>
      <c r="FH35" s="56" t="str">
        <f t="shared" si="423"/>
        <v>#REF!</v>
      </c>
      <c r="FI35" s="56" t="str">
        <f t="shared" si="424"/>
        <v>#REF!</v>
      </c>
      <c r="FJ35" s="56" t="str">
        <f t="shared" si="425"/>
        <v>#REF!</v>
      </c>
      <c r="FK35" s="56" t="str">
        <f t="shared" si="426"/>
        <v>#REF!</v>
      </c>
      <c r="FL35" s="56" t="str">
        <f t="shared" si="427"/>
        <v>#REF!</v>
      </c>
      <c r="FM35" s="56" t="str">
        <f t="shared" si="428"/>
        <v>#REF!</v>
      </c>
      <c r="FN35" s="56" t="str">
        <f t="shared" si="429"/>
        <v>#REF!</v>
      </c>
      <c r="FO35" s="56" t="str">
        <f t="shared" si="430"/>
        <v>#REF!</v>
      </c>
    </row>
    <row r="36">
      <c r="A36" s="27"/>
      <c r="B36" s="26"/>
      <c r="C36" s="26"/>
      <c r="D36" s="26"/>
      <c r="E36" s="26"/>
      <c r="F36" s="26"/>
      <c r="G36" s="28"/>
      <c r="H36" s="26"/>
      <c r="I36" s="29"/>
      <c r="J36" s="26"/>
      <c r="K36" s="26"/>
      <c r="L36" s="90"/>
      <c r="M36" s="26"/>
      <c r="N36" s="27"/>
      <c r="O36" s="57" t="str">
        <f t="shared" si="308"/>
        <v/>
      </c>
      <c r="P36" s="57" t="str">
        <f t="shared" si="309"/>
        <v/>
      </c>
      <c r="Q36" s="57" t="str">
        <f t="shared" si="310"/>
        <v/>
      </c>
      <c r="R36" s="57" t="str">
        <f t="shared" si="311"/>
        <v/>
      </c>
      <c r="S36" s="57" t="str">
        <f t="shared" si="312"/>
        <v/>
      </c>
      <c r="T36" s="57" t="str">
        <f t="shared" si="313"/>
        <v/>
      </c>
      <c r="U36" s="57" t="str">
        <f t="shared" si="314"/>
        <v/>
      </c>
      <c r="V36" s="57" t="str">
        <f t="shared" si="315"/>
        <v/>
      </c>
      <c r="W36" s="57" t="str">
        <f t="shared" si="316"/>
        <v/>
      </c>
      <c r="X36" s="57" t="str">
        <f t="shared" si="317"/>
        <v/>
      </c>
      <c r="Y36" s="57" t="str">
        <f t="shared" si="318"/>
        <v/>
      </c>
      <c r="Z36" s="57" t="str">
        <f t="shared" si="319"/>
        <v/>
      </c>
      <c r="AA36" s="57" t="str">
        <f t="shared" si="320"/>
        <v/>
      </c>
      <c r="AB36" s="57" t="str">
        <f t="shared" si="321"/>
        <v/>
      </c>
      <c r="AC36" s="57" t="str">
        <f t="shared" si="322"/>
        <v/>
      </c>
      <c r="AD36" s="57" t="str">
        <f t="shared" si="323"/>
        <v/>
      </c>
      <c r="AE36" s="57" t="str">
        <f t="shared" si="324"/>
        <v/>
      </c>
      <c r="AF36" s="57" t="str">
        <f t="shared" si="325"/>
        <v/>
      </c>
      <c r="AG36" s="57" t="str">
        <f t="shared" si="326"/>
        <v/>
      </c>
      <c r="AH36" s="57" t="str">
        <f t="shared" si="327"/>
        <v/>
      </c>
      <c r="AI36" s="57" t="str">
        <f t="shared" si="328"/>
        <v/>
      </c>
      <c r="AJ36" s="57" t="str">
        <f t="shared" si="329"/>
        <v/>
      </c>
      <c r="AK36" s="57" t="str">
        <f t="shared" si="330"/>
        <v/>
      </c>
      <c r="AL36" s="57" t="str">
        <f t="shared" si="331"/>
        <v/>
      </c>
      <c r="AM36" s="27"/>
      <c r="AN36" s="26"/>
      <c r="AO36" s="26"/>
      <c r="AP36" s="26"/>
      <c r="AQ36" s="28"/>
      <c r="AR36" s="26"/>
      <c r="AS36" s="29"/>
      <c r="AT36" s="26"/>
      <c r="AU36" s="26"/>
      <c r="AV36" s="90"/>
      <c r="AW36" s="26"/>
      <c r="AX36" s="27"/>
      <c r="AY36" s="57" t="str">
        <f t="shared" si="333"/>
        <v/>
      </c>
      <c r="AZ36" s="57" t="str">
        <f t="shared" si="334"/>
        <v/>
      </c>
      <c r="BA36" s="57" t="str">
        <f t="shared" si="335"/>
        <v/>
      </c>
      <c r="BB36" s="57" t="str">
        <f t="shared" si="336"/>
        <v/>
      </c>
      <c r="BC36" s="57" t="str">
        <f t="shared" si="337"/>
        <v/>
      </c>
      <c r="BD36" s="57" t="str">
        <f t="shared" si="338"/>
        <v/>
      </c>
      <c r="BE36" s="57" t="str">
        <f t="shared" si="339"/>
        <v/>
      </c>
      <c r="BF36" s="57" t="str">
        <f t="shared" si="340"/>
        <v/>
      </c>
      <c r="BG36" s="57" t="str">
        <f t="shared" si="341"/>
        <v/>
      </c>
      <c r="BH36" s="57" t="str">
        <f t="shared" si="342"/>
        <v/>
      </c>
      <c r="BI36" s="57" t="str">
        <f t="shared" si="343"/>
        <v/>
      </c>
      <c r="BJ36" s="57" t="str">
        <f t="shared" si="344"/>
        <v/>
      </c>
      <c r="BK36" s="57" t="str">
        <f t="shared" si="345"/>
        <v/>
      </c>
      <c r="BL36" s="57" t="str">
        <f t="shared" si="346"/>
        <v/>
      </c>
      <c r="BM36" s="57" t="str">
        <f t="shared" si="347"/>
        <v/>
      </c>
      <c r="BN36" s="57" t="str">
        <f t="shared" si="348"/>
        <v/>
      </c>
      <c r="BO36" s="57" t="str">
        <f t="shared" si="349"/>
        <v/>
      </c>
      <c r="BP36" s="57" t="str">
        <f t="shared" si="350"/>
        <v/>
      </c>
      <c r="BQ36" s="57" t="str">
        <f t="shared" si="351"/>
        <v/>
      </c>
      <c r="BR36" s="57" t="str">
        <f t="shared" si="352"/>
        <v/>
      </c>
      <c r="BS36" s="57" t="str">
        <f t="shared" si="353"/>
        <v/>
      </c>
      <c r="BT36" s="57" t="str">
        <f t="shared" si="354"/>
        <v/>
      </c>
      <c r="BU36" s="57" t="str">
        <f t="shared" si="355"/>
        <v/>
      </c>
      <c r="BV36" s="57" t="str">
        <f t="shared" si="356"/>
        <v/>
      </c>
      <c r="BW36" s="27"/>
      <c r="BX36" s="26"/>
      <c r="BY36" s="26"/>
      <c r="BZ36" s="26"/>
      <c r="CA36" s="28"/>
      <c r="CB36" s="26"/>
      <c r="CC36" s="29"/>
      <c r="CD36" s="26"/>
      <c r="CE36" s="26"/>
      <c r="CF36" s="90"/>
      <c r="CG36" s="26"/>
      <c r="CH36" s="27"/>
      <c r="CI36" s="57" t="str">
        <f t="shared" si="358"/>
        <v/>
      </c>
      <c r="CJ36" s="57" t="str">
        <f t="shared" si="359"/>
        <v/>
      </c>
      <c r="CK36" s="57" t="str">
        <f t="shared" si="360"/>
        <v/>
      </c>
      <c r="CL36" s="57" t="str">
        <f t="shared" si="361"/>
        <v/>
      </c>
      <c r="CM36" s="57" t="str">
        <f t="shared" si="362"/>
        <v/>
      </c>
      <c r="CN36" s="57" t="str">
        <f t="shared" si="363"/>
        <v/>
      </c>
      <c r="CO36" s="57" t="str">
        <f t="shared" si="364"/>
        <v/>
      </c>
      <c r="CP36" s="57" t="str">
        <f t="shared" si="365"/>
        <v/>
      </c>
      <c r="CQ36" s="57" t="str">
        <f t="shared" si="366"/>
        <v/>
      </c>
      <c r="CR36" s="57" t="str">
        <f t="shared" si="367"/>
        <v/>
      </c>
      <c r="CS36" s="57" t="str">
        <f t="shared" si="368"/>
        <v/>
      </c>
      <c r="CT36" s="57" t="str">
        <f t="shared" si="369"/>
        <v/>
      </c>
      <c r="CU36" s="57" t="str">
        <f t="shared" si="370"/>
        <v/>
      </c>
      <c r="CV36" s="57" t="str">
        <f t="shared" si="371"/>
        <v/>
      </c>
      <c r="CW36" s="57" t="str">
        <f t="shared" si="372"/>
        <v/>
      </c>
      <c r="CX36" s="57" t="str">
        <f t="shared" si="373"/>
        <v/>
      </c>
      <c r="CY36" s="57" t="str">
        <f t="shared" si="374"/>
        <v/>
      </c>
      <c r="CZ36" s="57" t="str">
        <f t="shared" si="375"/>
        <v/>
      </c>
      <c r="DA36" s="57" t="str">
        <f t="shared" si="376"/>
        <v/>
      </c>
      <c r="DB36" s="57" t="str">
        <f t="shared" si="377"/>
        <v/>
      </c>
      <c r="DC36" s="57" t="str">
        <f t="shared" si="378"/>
        <v/>
      </c>
      <c r="DD36" s="57" t="str">
        <f t="shared" si="379"/>
        <v/>
      </c>
      <c r="DE36" s="57" t="str">
        <f t="shared" si="380"/>
        <v/>
      </c>
      <c r="DF36" s="57" t="str">
        <f t="shared" si="381"/>
        <v/>
      </c>
      <c r="DG36" s="27"/>
      <c r="DH36" s="26"/>
      <c r="DI36" s="26"/>
      <c r="DJ36" s="26"/>
      <c r="DK36" s="28"/>
      <c r="DL36" s="26"/>
      <c r="DM36" s="36"/>
      <c r="DN36" s="26"/>
      <c r="DO36" s="26"/>
      <c r="DP36" s="90"/>
      <c r="DQ36" s="26"/>
      <c r="DR36" s="27"/>
      <c r="DS36" s="27"/>
      <c r="DT36" s="57" t="str">
        <f t="shared" si="383"/>
        <v/>
      </c>
      <c r="DU36" s="57" t="str">
        <f t="shared" si="384"/>
        <v/>
      </c>
      <c r="DV36" s="57" t="str">
        <f t="shared" si="385"/>
        <v/>
      </c>
      <c r="DW36" s="57" t="str">
        <f t="shared" si="386"/>
        <v/>
      </c>
      <c r="DX36" s="57" t="str">
        <f t="shared" si="387"/>
        <v/>
      </c>
      <c r="DY36" s="57" t="str">
        <f t="shared" si="388"/>
        <v/>
      </c>
      <c r="DZ36" s="57" t="str">
        <f t="shared" si="389"/>
        <v/>
      </c>
      <c r="EA36" s="57" t="str">
        <f t="shared" si="390"/>
        <v/>
      </c>
      <c r="EB36" s="57" t="str">
        <f t="shared" si="391"/>
        <v/>
      </c>
      <c r="EC36" s="57" t="str">
        <f t="shared" si="392"/>
        <v/>
      </c>
      <c r="ED36" s="57" t="str">
        <f t="shared" si="393"/>
        <v/>
      </c>
      <c r="EE36" s="57" t="str">
        <f t="shared" si="394"/>
        <v/>
      </c>
      <c r="EF36" s="57" t="str">
        <f t="shared" si="395"/>
        <v/>
      </c>
      <c r="EG36" s="57" t="str">
        <f t="shared" si="396"/>
        <v/>
      </c>
      <c r="EH36" s="57" t="str">
        <f t="shared" si="397"/>
        <v/>
      </c>
      <c r="EI36" s="57" t="str">
        <f t="shared" si="398"/>
        <v/>
      </c>
      <c r="EJ36" s="57" t="str">
        <f t="shared" si="399"/>
        <v/>
      </c>
      <c r="EK36" s="57" t="str">
        <f t="shared" si="400"/>
        <v/>
      </c>
      <c r="EL36" s="57" t="str">
        <f t="shared" si="401"/>
        <v/>
      </c>
      <c r="EM36" s="57" t="str">
        <f t="shared" si="402"/>
        <v/>
      </c>
      <c r="EN36" s="57" t="str">
        <f t="shared" si="403"/>
        <v/>
      </c>
      <c r="EO36" s="57" t="str">
        <f t="shared" si="404"/>
        <v/>
      </c>
      <c r="EP36" s="57" t="str">
        <f t="shared" si="405"/>
        <v/>
      </c>
      <c r="EQ36" s="57" t="str">
        <f t="shared" si="406"/>
        <v/>
      </c>
      <c r="ER36" s="56" t="str">
        <f t="shared" si="407"/>
        <v>#REF!</v>
      </c>
      <c r="ES36" s="56" t="str">
        <f t="shared" si="408"/>
        <v>#REF!</v>
      </c>
      <c r="ET36" s="56" t="str">
        <f t="shared" si="409"/>
        <v>#REF!</v>
      </c>
      <c r="EU36" s="56" t="str">
        <f t="shared" si="410"/>
        <v>#REF!</v>
      </c>
      <c r="EV36" s="56" t="str">
        <f t="shared" si="411"/>
        <v>#REF!</v>
      </c>
      <c r="EW36" s="56" t="str">
        <f t="shared" si="412"/>
        <v>#REF!</v>
      </c>
      <c r="EX36" s="56" t="str">
        <f t="shared" si="413"/>
        <v>#REF!</v>
      </c>
      <c r="EY36" s="56" t="str">
        <f t="shared" si="414"/>
        <v>#REF!</v>
      </c>
      <c r="EZ36" s="56" t="str">
        <f t="shared" si="415"/>
        <v>#REF!</v>
      </c>
      <c r="FA36" s="56" t="str">
        <f t="shared" si="416"/>
        <v>#REF!</v>
      </c>
      <c r="FB36" s="56" t="str">
        <f t="shared" si="417"/>
        <v>#REF!</v>
      </c>
      <c r="FC36" s="56" t="str">
        <f t="shared" si="418"/>
        <v>#REF!</v>
      </c>
      <c r="FD36" s="56" t="str">
        <f t="shared" si="419"/>
        <v>#REF!</v>
      </c>
      <c r="FE36" s="56" t="str">
        <f t="shared" si="420"/>
        <v>#REF!</v>
      </c>
      <c r="FF36" s="56" t="str">
        <f t="shared" si="421"/>
        <v>#REF!</v>
      </c>
      <c r="FG36" s="56" t="str">
        <f t="shared" si="422"/>
        <v>#REF!</v>
      </c>
      <c r="FH36" s="56" t="str">
        <f t="shared" si="423"/>
        <v>#REF!</v>
      </c>
      <c r="FI36" s="56" t="str">
        <f t="shared" si="424"/>
        <v>#REF!</v>
      </c>
      <c r="FJ36" s="56" t="str">
        <f t="shared" si="425"/>
        <v>#REF!</v>
      </c>
      <c r="FK36" s="56" t="str">
        <f t="shared" si="426"/>
        <v>#REF!</v>
      </c>
      <c r="FL36" s="56" t="str">
        <f t="shared" si="427"/>
        <v>#REF!</v>
      </c>
      <c r="FM36" s="56" t="str">
        <f t="shared" si="428"/>
        <v>#REF!</v>
      </c>
      <c r="FN36" s="56" t="str">
        <f t="shared" si="429"/>
        <v>#REF!</v>
      </c>
      <c r="FO36" s="56" t="str">
        <f t="shared" si="430"/>
        <v>#REF!</v>
      </c>
    </row>
    <row r="37">
      <c r="A37" s="27"/>
      <c r="B37" s="26"/>
      <c r="C37" s="26"/>
      <c r="D37" s="37" t="s">
        <v>23</v>
      </c>
      <c r="E37" s="37" t="s">
        <v>24</v>
      </c>
      <c r="F37" s="38" t="s">
        <v>25</v>
      </c>
      <c r="G37" s="39" t="s">
        <v>26</v>
      </c>
      <c r="H37" s="40" t="s">
        <v>27</v>
      </c>
      <c r="I37" s="41" t="s">
        <v>28</v>
      </c>
      <c r="J37" s="37" t="s">
        <v>29</v>
      </c>
      <c r="K37" s="37" t="s">
        <v>30</v>
      </c>
      <c r="L37" s="92" t="s">
        <v>31</v>
      </c>
      <c r="M37" s="42" t="s">
        <v>32</v>
      </c>
      <c r="N37" s="27"/>
      <c r="O37" s="57" t="str">
        <f t="shared" si="308"/>
        <v/>
      </c>
      <c r="P37" s="57" t="str">
        <f t="shared" si="309"/>
        <v/>
      </c>
      <c r="Q37" s="57" t="str">
        <f t="shared" si="310"/>
        <v/>
      </c>
      <c r="R37" s="57" t="str">
        <f t="shared" si="311"/>
        <v/>
      </c>
      <c r="S37" s="57" t="str">
        <f t="shared" si="312"/>
        <v/>
      </c>
      <c r="T37" s="57" t="str">
        <f t="shared" si="313"/>
        <v/>
      </c>
      <c r="U37" s="57" t="str">
        <f t="shared" si="314"/>
        <v/>
      </c>
      <c r="V37" s="57" t="str">
        <f t="shared" si="315"/>
        <v/>
      </c>
      <c r="W37" s="57" t="str">
        <f t="shared" si="316"/>
        <v/>
      </c>
      <c r="X37" s="57" t="str">
        <f t="shared" si="317"/>
        <v/>
      </c>
      <c r="Y37" s="57" t="str">
        <f t="shared" si="318"/>
        <v/>
      </c>
      <c r="Z37" s="57" t="str">
        <f t="shared" si="319"/>
        <v/>
      </c>
      <c r="AA37" s="57" t="str">
        <f t="shared" si="320"/>
        <v/>
      </c>
      <c r="AB37" s="57" t="str">
        <f t="shared" si="321"/>
        <v/>
      </c>
      <c r="AC37" s="57" t="str">
        <f t="shared" si="322"/>
        <v/>
      </c>
      <c r="AD37" s="57" t="str">
        <f t="shared" si="323"/>
        <v/>
      </c>
      <c r="AE37" s="57" t="str">
        <f t="shared" si="324"/>
        <v/>
      </c>
      <c r="AF37" s="57" t="str">
        <f t="shared" si="325"/>
        <v/>
      </c>
      <c r="AG37" s="57" t="str">
        <f t="shared" si="326"/>
        <v/>
      </c>
      <c r="AH37" s="57" t="str">
        <f t="shared" si="327"/>
        <v/>
      </c>
      <c r="AI37" s="57" t="str">
        <f t="shared" si="328"/>
        <v/>
      </c>
      <c r="AJ37" s="57" t="str">
        <f t="shared" si="329"/>
        <v/>
      </c>
      <c r="AK37" s="57" t="str">
        <f t="shared" si="330"/>
        <v/>
      </c>
      <c r="AL37" s="57" t="str">
        <f t="shared" si="331"/>
        <v/>
      </c>
      <c r="AM37" s="27"/>
      <c r="AN37" s="37" t="s">
        <v>23</v>
      </c>
      <c r="AO37" s="37" t="s">
        <v>24</v>
      </c>
      <c r="AP37" s="38" t="s">
        <v>25</v>
      </c>
      <c r="AQ37" s="39" t="s">
        <v>26</v>
      </c>
      <c r="AR37" s="40" t="s">
        <v>27</v>
      </c>
      <c r="AS37" s="41" t="s">
        <v>28</v>
      </c>
      <c r="AT37" s="37" t="s">
        <v>29</v>
      </c>
      <c r="AU37" s="37" t="s">
        <v>30</v>
      </c>
      <c r="AV37" s="92" t="s">
        <v>31</v>
      </c>
      <c r="AW37" s="42" t="s">
        <v>32</v>
      </c>
      <c r="AX37" s="27"/>
      <c r="AY37" s="57" t="str">
        <f t="shared" si="333"/>
        <v/>
      </c>
      <c r="AZ37" s="57" t="str">
        <f t="shared" si="334"/>
        <v/>
      </c>
      <c r="BA37" s="57" t="str">
        <f t="shared" si="335"/>
        <v/>
      </c>
      <c r="BB37" s="57" t="str">
        <f t="shared" si="336"/>
        <v/>
      </c>
      <c r="BC37" s="57" t="str">
        <f t="shared" si="337"/>
        <v/>
      </c>
      <c r="BD37" s="57" t="str">
        <f t="shared" si="338"/>
        <v/>
      </c>
      <c r="BE37" s="57" t="str">
        <f t="shared" si="339"/>
        <v/>
      </c>
      <c r="BF37" s="57" t="str">
        <f t="shared" si="340"/>
        <v/>
      </c>
      <c r="BG37" s="57" t="str">
        <f t="shared" si="341"/>
        <v/>
      </c>
      <c r="BH37" s="57" t="str">
        <f t="shared" si="342"/>
        <v/>
      </c>
      <c r="BI37" s="57" t="str">
        <f t="shared" si="343"/>
        <v/>
      </c>
      <c r="BJ37" s="57" t="str">
        <f t="shared" si="344"/>
        <v/>
      </c>
      <c r="BK37" s="57" t="str">
        <f t="shared" si="345"/>
        <v/>
      </c>
      <c r="BL37" s="57" t="str">
        <f t="shared" si="346"/>
        <v/>
      </c>
      <c r="BM37" s="57" t="str">
        <f t="shared" si="347"/>
        <v/>
      </c>
      <c r="BN37" s="57" t="str">
        <f t="shared" si="348"/>
        <v/>
      </c>
      <c r="BO37" s="57" t="str">
        <f t="shared" si="349"/>
        <v/>
      </c>
      <c r="BP37" s="57" t="str">
        <f t="shared" si="350"/>
        <v/>
      </c>
      <c r="BQ37" s="57" t="str">
        <f t="shared" si="351"/>
        <v/>
      </c>
      <c r="BR37" s="57" t="str">
        <f t="shared" si="352"/>
        <v/>
      </c>
      <c r="BS37" s="57" t="str">
        <f t="shared" si="353"/>
        <v/>
      </c>
      <c r="BT37" s="57" t="str">
        <f t="shared" si="354"/>
        <v/>
      </c>
      <c r="BU37" s="57" t="str">
        <f t="shared" si="355"/>
        <v/>
      </c>
      <c r="BV37" s="57" t="str">
        <f t="shared" si="356"/>
        <v/>
      </c>
      <c r="BW37" s="27"/>
      <c r="BX37" s="37" t="s">
        <v>23</v>
      </c>
      <c r="BY37" s="37" t="s">
        <v>24</v>
      </c>
      <c r="BZ37" s="38" t="s">
        <v>25</v>
      </c>
      <c r="CA37" s="39" t="s">
        <v>26</v>
      </c>
      <c r="CB37" s="40" t="s">
        <v>27</v>
      </c>
      <c r="CC37" s="41" t="s">
        <v>28</v>
      </c>
      <c r="CD37" s="37" t="s">
        <v>29</v>
      </c>
      <c r="CE37" s="37" t="s">
        <v>30</v>
      </c>
      <c r="CF37" s="92" t="s">
        <v>31</v>
      </c>
      <c r="CG37" s="42" t="s">
        <v>32</v>
      </c>
      <c r="CH37" s="27"/>
      <c r="CI37" s="57" t="str">
        <f t="shared" si="358"/>
        <v/>
      </c>
      <c r="CJ37" s="57" t="str">
        <f t="shared" si="359"/>
        <v/>
      </c>
      <c r="CK37" s="57" t="str">
        <f t="shared" si="360"/>
        <v/>
      </c>
      <c r="CL37" s="57" t="str">
        <f t="shared" si="361"/>
        <v/>
      </c>
      <c r="CM37" s="57" t="str">
        <f t="shared" si="362"/>
        <v/>
      </c>
      <c r="CN37" s="57" t="str">
        <f t="shared" si="363"/>
        <v/>
      </c>
      <c r="CO37" s="57" t="str">
        <f t="shared" si="364"/>
        <v/>
      </c>
      <c r="CP37" s="57" t="str">
        <f t="shared" si="365"/>
        <v/>
      </c>
      <c r="CQ37" s="57" t="str">
        <f t="shared" si="366"/>
        <v/>
      </c>
      <c r="CR37" s="57" t="str">
        <f t="shared" si="367"/>
        <v/>
      </c>
      <c r="CS37" s="57" t="str">
        <f t="shared" si="368"/>
        <v/>
      </c>
      <c r="CT37" s="57" t="str">
        <f t="shared" si="369"/>
        <v/>
      </c>
      <c r="CU37" s="57" t="str">
        <f t="shared" si="370"/>
        <v/>
      </c>
      <c r="CV37" s="57" t="str">
        <f t="shared" si="371"/>
        <v/>
      </c>
      <c r="CW37" s="57" t="str">
        <f t="shared" si="372"/>
        <v/>
      </c>
      <c r="CX37" s="57" t="str">
        <f t="shared" si="373"/>
        <v/>
      </c>
      <c r="CY37" s="57" t="str">
        <f t="shared" si="374"/>
        <v/>
      </c>
      <c r="CZ37" s="57" t="str">
        <f t="shared" si="375"/>
        <v/>
      </c>
      <c r="DA37" s="57" t="str">
        <f t="shared" si="376"/>
        <v/>
      </c>
      <c r="DB37" s="57" t="str">
        <f t="shared" si="377"/>
        <v/>
      </c>
      <c r="DC37" s="57" t="str">
        <f t="shared" si="378"/>
        <v/>
      </c>
      <c r="DD37" s="57" t="str">
        <f t="shared" si="379"/>
        <v/>
      </c>
      <c r="DE37" s="57" t="str">
        <f t="shared" si="380"/>
        <v/>
      </c>
      <c r="DF37" s="57" t="str">
        <f t="shared" si="381"/>
        <v/>
      </c>
      <c r="DG37" s="27"/>
      <c r="DH37" s="37" t="s">
        <v>23</v>
      </c>
      <c r="DI37" s="37" t="s">
        <v>24</v>
      </c>
      <c r="DJ37" s="38" t="s">
        <v>25</v>
      </c>
      <c r="DK37" s="39" t="s">
        <v>26</v>
      </c>
      <c r="DL37" s="40" t="s">
        <v>27</v>
      </c>
      <c r="DM37" s="44" t="s">
        <v>28</v>
      </c>
      <c r="DN37" s="37" t="s">
        <v>29</v>
      </c>
      <c r="DO37" s="37" t="s">
        <v>30</v>
      </c>
      <c r="DP37" s="92" t="s">
        <v>31</v>
      </c>
      <c r="DQ37" s="42" t="s">
        <v>32</v>
      </c>
      <c r="DR37" s="27"/>
      <c r="DS37" s="27"/>
      <c r="DT37" s="57" t="str">
        <f t="shared" si="383"/>
        <v/>
      </c>
      <c r="DU37" s="57" t="str">
        <f t="shared" si="384"/>
        <v/>
      </c>
      <c r="DV37" s="57" t="str">
        <f t="shared" si="385"/>
        <v/>
      </c>
      <c r="DW37" s="57" t="str">
        <f t="shared" si="386"/>
        <v/>
      </c>
      <c r="DX37" s="57" t="str">
        <f t="shared" si="387"/>
        <v/>
      </c>
      <c r="DY37" s="57" t="str">
        <f t="shared" si="388"/>
        <v/>
      </c>
      <c r="DZ37" s="57" t="str">
        <f t="shared" si="389"/>
        <v/>
      </c>
      <c r="EA37" s="57" t="str">
        <f t="shared" si="390"/>
        <v/>
      </c>
      <c r="EB37" s="57" t="str">
        <f t="shared" si="391"/>
        <v/>
      </c>
      <c r="EC37" s="57" t="str">
        <f t="shared" si="392"/>
        <v/>
      </c>
      <c r="ED37" s="57" t="str">
        <f t="shared" si="393"/>
        <v/>
      </c>
      <c r="EE37" s="57" t="str">
        <f t="shared" si="394"/>
        <v/>
      </c>
      <c r="EF37" s="57" t="str">
        <f t="shared" si="395"/>
        <v/>
      </c>
      <c r="EG37" s="57" t="str">
        <f t="shared" si="396"/>
        <v/>
      </c>
      <c r="EH37" s="57" t="str">
        <f t="shared" si="397"/>
        <v/>
      </c>
      <c r="EI37" s="57" t="str">
        <f t="shared" si="398"/>
        <v/>
      </c>
      <c r="EJ37" s="57" t="str">
        <f t="shared" si="399"/>
        <v/>
      </c>
      <c r="EK37" s="57" t="str">
        <f t="shared" si="400"/>
        <v/>
      </c>
      <c r="EL37" s="57" t="str">
        <f t="shared" si="401"/>
        <v/>
      </c>
      <c r="EM37" s="57" t="str">
        <f t="shared" si="402"/>
        <v/>
      </c>
      <c r="EN37" s="57" t="str">
        <f t="shared" si="403"/>
        <v/>
      </c>
      <c r="EO37" s="57" t="str">
        <f t="shared" si="404"/>
        <v/>
      </c>
      <c r="EP37" s="57" t="str">
        <f t="shared" si="405"/>
        <v/>
      </c>
      <c r="EQ37" s="57" t="str">
        <f t="shared" si="406"/>
        <v/>
      </c>
      <c r="ER37" s="56" t="str">
        <f t="shared" si="407"/>
        <v>#REF!</v>
      </c>
      <c r="ES37" s="56" t="str">
        <f t="shared" si="408"/>
        <v>#REF!</v>
      </c>
      <c r="ET37" s="56" t="str">
        <f t="shared" si="409"/>
        <v>#REF!</v>
      </c>
      <c r="EU37" s="56" t="str">
        <f t="shared" si="410"/>
        <v>#REF!</v>
      </c>
      <c r="EV37" s="56" t="str">
        <f t="shared" si="411"/>
        <v>#REF!</v>
      </c>
      <c r="EW37" s="56" t="str">
        <f t="shared" si="412"/>
        <v>#REF!</v>
      </c>
      <c r="EX37" s="56" t="str">
        <f t="shared" si="413"/>
        <v>#REF!</v>
      </c>
      <c r="EY37" s="56" t="str">
        <f t="shared" si="414"/>
        <v>#REF!</v>
      </c>
      <c r="EZ37" s="56" t="str">
        <f t="shared" si="415"/>
        <v>#REF!</v>
      </c>
      <c r="FA37" s="56" t="str">
        <f t="shared" si="416"/>
        <v>#REF!</v>
      </c>
      <c r="FB37" s="56" t="str">
        <f t="shared" si="417"/>
        <v>#REF!</v>
      </c>
      <c r="FC37" s="56" t="str">
        <f t="shared" si="418"/>
        <v>#REF!</v>
      </c>
      <c r="FD37" s="56" t="str">
        <f t="shared" si="419"/>
        <v>#REF!</v>
      </c>
      <c r="FE37" s="56" t="str">
        <f t="shared" si="420"/>
        <v>#REF!</v>
      </c>
      <c r="FF37" s="56" t="str">
        <f t="shared" si="421"/>
        <v>#REF!</v>
      </c>
      <c r="FG37" s="56" t="str">
        <f t="shared" si="422"/>
        <v>#REF!</v>
      </c>
      <c r="FH37" s="56" t="str">
        <f t="shared" si="423"/>
        <v>#REF!</v>
      </c>
      <c r="FI37" s="56" t="str">
        <f t="shared" si="424"/>
        <v>#REF!</v>
      </c>
      <c r="FJ37" s="56" t="str">
        <f t="shared" si="425"/>
        <v>#REF!</v>
      </c>
      <c r="FK37" s="56" t="str">
        <f t="shared" si="426"/>
        <v>#REF!</v>
      </c>
      <c r="FL37" s="56" t="str">
        <f t="shared" si="427"/>
        <v>#REF!</v>
      </c>
      <c r="FM37" s="56" t="str">
        <f t="shared" si="428"/>
        <v>#REF!</v>
      </c>
      <c r="FN37" s="56" t="str">
        <f t="shared" si="429"/>
        <v>#REF!</v>
      </c>
      <c r="FO37" s="56" t="str">
        <f t="shared" si="430"/>
        <v>#REF!</v>
      </c>
    </row>
    <row r="38">
      <c r="A38" s="27"/>
      <c r="B38" s="45" t="s">
        <v>60</v>
      </c>
      <c r="C38" s="46"/>
      <c r="D38" s="47" t="str">
        <f t="shared" ref="D38:H38" si="435">D29</f>
        <v>Squat</v>
      </c>
      <c r="E38" s="48" t="str">
        <f t="shared" si="435"/>
        <v/>
      </c>
      <c r="F38" s="49" t="str">
        <f t="shared" si="435"/>
        <v>Squat 4/1/0</v>
      </c>
      <c r="G38" s="50">
        <f t="shared" si="435"/>
        <v>2</v>
      </c>
      <c r="H38" s="51">
        <f t="shared" si="435"/>
        <v>5</v>
      </c>
      <c r="I38" s="52">
        <v>76.0</v>
      </c>
      <c r="J38" s="53">
        <f>IF(D38="Squat",IF(I38&gt;10,MROUND((I38/100*SQMAX),2.5)," "),IF(D38="Bench",IF(I38&gt;10,MROUND((I38/100*BNMAX),2.5)," "),IF(D38="Deadlift",IF(I38&gt;10,MROUND((I38/100*DLMAX),2.5)," ")," ")))</f>
        <v>152.5</v>
      </c>
      <c r="K38" s="26"/>
      <c r="L38" s="54" t="str">
        <f>IFERROR((J38/VLOOKUP(K38,'RPE vs. %'!$D$3:$P$11,H38+1,FALSE)),"")</f>
        <v/>
      </c>
      <c r="M38" s="55" t="s">
        <v>37</v>
      </c>
      <c r="N38" s="27"/>
      <c r="O38" s="57" t="str">
        <f t="shared" si="308"/>
        <v/>
      </c>
      <c r="P38" s="57" t="str">
        <f t="shared" si="309"/>
        <v/>
      </c>
      <c r="Q38" s="57" t="str">
        <f t="shared" si="310"/>
        <v/>
      </c>
      <c r="R38" s="57" t="str">
        <f t="shared" si="311"/>
        <v/>
      </c>
      <c r="S38" s="57" t="str">
        <f t="shared" si="312"/>
        <v/>
      </c>
      <c r="T38" s="57" t="str">
        <f t="shared" si="313"/>
        <v/>
      </c>
      <c r="U38" s="57" t="str">
        <f t="shared" si="314"/>
        <v/>
      </c>
      <c r="V38" s="57" t="str">
        <f t="shared" si="315"/>
        <v/>
      </c>
      <c r="W38" s="57" t="str">
        <f t="shared" si="316"/>
        <v/>
      </c>
      <c r="X38" s="57" t="str">
        <f t="shared" si="317"/>
        <v/>
      </c>
      <c r="Y38" s="57" t="str">
        <f t="shared" si="318"/>
        <v/>
      </c>
      <c r="Z38" s="57" t="str">
        <f t="shared" si="319"/>
        <v/>
      </c>
      <c r="AA38" s="57" t="str">
        <f t="shared" si="320"/>
        <v/>
      </c>
      <c r="AB38" s="57" t="str">
        <f t="shared" si="321"/>
        <v/>
      </c>
      <c r="AC38" s="57" t="str">
        <f t="shared" si="322"/>
        <v/>
      </c>
      <c r="AD38" s="57" t="str">
        <f t="shared" si="323"/>
        <v/>
      </c>
      <c r="AE38" s="57" t="str">
        <f t="shared" si="324"/>
        <v/>
      </c>
      <c r="AF38" s="57" t="str">
        <f t="shared" si="325"/>
        <v/>
      </c>
      <c r="AG38" s="57" t="str">
        <f t="shared" si="326"/>
        <v/>
      </c>
      <c r="AH38" s="57" t="str">
        <f t="shared" si="327"/>
        <v/>
      </c>
      <c r="AI38" s="57" t="str">
        <f t="shared" si="328"/>
        <v/>
      </c>
      <c r="AJ38" s="57" t="str">
        <f t="shared" si="329"/>
        <v/>
      </c>
      <c r="AK38" s="57" t="str">
        <f t="shared" si="330"/>
        <v/>
      </c>
      <c r="AL38" s="57" t="str">
        <f t="shared" si="331"/>
        <v/>
      </c>
      <c r="AM38" s="27"/>
      <c r="AN38" s="58" t="str">
        <f t="shared" ref="AN38:AR38" si="436">AN29</f>
        <v>Deadlift</v>
      </c>
      <c r="AO38" s="59" t="str">
        <f t="shared" si="436"/>
        <v/>
      </c>
      <c r="AP38" s="60" t="str">
        <f t="shared" si="436"/>
        <v>Deadlift</v>
      </c>
      <c r="AQ38" s="61">
        <f t="shared" si="436"/>
        <v>3</v>
      </c>
      <c r="AR38" s="62">
        <f t="shared" si="436"/>
        <v>3</v>
      </c>
      <c r="AS38" s="111">
        <f t="shared" ref="AS38:AS40" si="441">AS29+3</f>
        <v>89</v>
      </c>
      <c r="AT38" s="32">
        <f>IF(AN38="Squat",IF(AS38&gt;10,MROUND((AS38/100*SQMAX),2.5)," "),IF(AN38="Bench",IF(AS38&gt;10,MROUND((AS38/100*BNMAX),2.5)," "),IF(AN38="Deadlift",IF(AS38&gt;10,MROUND((AS38/100*DLMAX),2.5)," ")," ")))</f>
        <v>222.5</v>
      </c>
      <c r="AU38" s="26"/>
      <c r="AV38" s="54" t="str">
        <f>IFERROR((AT38/VLOOKUP(AU38,'RPE vs. %'!$D$3:$P$11,AR38+1,FALSE)),"")</f>
        <v/>
      </c>
      <c r="AW38" s="55" t="s">
        <v>37</v>
      </c>
      <c r="AX38" s="27"/>
      <c r="AY38" s="57" t="str">
        <f t="shared" si="333"/>
        <v/>
      </c>
      <c r="AZ38" s="57" t="str">
        <f t="shared" si="334"/>
        <v/>
      </c>
      <c r="BA38" s="57" t="str">
        <f t="shared" si="335"/>
        <v/>
      </c>
      <c r="BB38" s="57" t="str">
        <f t="shared" si="336"/>
        <v/>
      </c>
      <c r="BC38" s="57" t="str">
        <f t="shared" si="337"/>
        <v/>
      </c>
      <c r="BD38" s="57" t="str">
        <f t="shared" si="338"/>
        <v/>
      </c>
      <c r="BE38" s="57" t="str">
        <f t="shared" si="339"/>
        <v/>
      </c>
      <c r="BF38" s="57" t="str">
        <f t="shared" si="340"/>
        <v/>
      </c>
      <c r="BG38" s="57" t="str">
        <f t="shared" si="341"/>
        <v/>
      </c>
      <c r="BH38" s="57" t="str">
        <f t="shared" si="342"/>
        <v/>
      </c>
      <c r="BI38" s="57" t="str">
        <f t="shared" si="343"/>
        <v/>
      </c>
      <c r="BJ38" s="57" t="str">
        <f t="shared" si="344"/>
        <v/>
      </c>
      <c r="BK38" s="57" t="str">
        <f t="shared" si="345"/>
        <v/>
      </c>
      <c r="BL38" s="57" t="str">
        <f t="shared" si="346"/>
        <v/>
      </c>
      <c r="BM38" s="57" t="str">
        <f t="shared" si="347"/>
        <v/>
      </c>
      <c r="BN38" s="57" t="str">
        <f t="shared" si="348"/>
        <v/>
      </c>
      <c r="BO38" s="57" t="str">
        <f t="shared" si="349"/>
        <v/>
      </c>
      <c r="BP38" s="57" t="str">
        <f t="shared" si="350"/>
        <v/>
      </c>
      <c r="BQ38" s="57" t="str">
        <f t="shared" si="351"/>
        <v/>
      </c>
      <c r="BR38" s="57" t="str">
        <f t="shared" si="352"/>
        <v/>
      </c>
      <c r="BS38" s="57" t="str">
        <f t="shared" si="353"/>
        <v/>
      </c>
      <c r="BT38" s="57" t="str">
        <f t="shared" si="354"/>
        <v/>
      </c>
      <c r="BU38" s="57" t="str">
        <f t="shared" si="355"/>
        <v/>
      </c>
      <c r="BV38" s="57" t="str">
        <f t="shared" si="356"/>
        <v/>
      </c>
      <c r="BW38" s="27"/>
      <c r="BX38" s="47" t="str">
        <f t="shared" ref="BX38:CB38" si="437">BX29</f>
        <v>Squat</v>
      </c>
      <c r="BY38" s="48" t="str">
        <f t="shared" si="437"/>
        <v/>
      </c>
      <c r="BZ38" s="49" t="str">
        <f t="shared" si="437"/>
        <v>Squat pause</v>
      </c>
      <c r="CA38" s="50">
        <f t="shared" si="437"/>
        <v>3</v>
      </c>
      <c r="CB38" s="51">
        <f t="shared" si="437"/>
        <v>5</v>
      </c>
      <c r="CC38" s="112">
        <f>CC29+4</f>
        <v>76</v>
      </c>
      <c r="CD38" s="53">
        <f>IF(BX38="Squat",IF(CC38&gt;10,MROUND((CC38/100*SQMAX),2.5)," "),IF(BX38="Bench",IF(CC38&gt;10,MROUND((CC38/100*BNMAX),2.5)," "),IF(BX38="Deadlift",IF(CC38&gt;10,MROUND((CC38/100*DLMAX),2.5)," ")," ")))</f>
        <v>152.5</v>
      </c>
      <c r="CE38" s="26"/>
      <c r="CF38" s="54" t="str">
        <f>IFERROR((CD38/VLOOKUP(CE38,'RPE vs. %'!$D$3:$P$11,CB38+1,FALSE)),"")</f>
        <v/>
      </c>
      <c r="CG38" s="55" t="s">
        <v>37</v>
      </c>
      <c r="CH38" s="27"/>
      <c r="CI38" s="57" t="str">
        <f t="shared" si="358"/>
        <v/>
      </c>
      <c r="CJ38" s="57" t="str">
        <f t="shared" si="359"/>
        <v/>
      </c>
      <c r="CK38" s="57" t="str">
        <f t="shared" si="360"/>
        <v/>
      </c>
      <c r="CL38" s="57" t="str">
        <f t="shared" si="361"/>
        <v/>
      </c>
      <c r="CM38" s="57" t="str">
        <f t="shared" si="362"/>
        <v/>
      </c>
      <c r="CN38" s="57" t="str">
        <f t="shared" si="363"/>
        <v/>
      </c>
      <c r="CO38" s="57" t="str">
        <f t="shared" si="364"/>
        <v/>
      </c>
      <c r="CP38" s="57" t="str">
        <f t="shared" si="365"/>
        <v/>
      </c>
      <c r="CQ38" s="57" t="str">
        <f t="shared" si="366"/>
        <v/>
      </c>
      <c r="CR38" s="57" t="str">
        <f t="shared" si="367"/>
        <v/>
      </c>
      <c r="CS38" s="57" t="str">
        <f t="shared" si="368"/>
        <v/>
      </c>
      <c r="CT38" s="57" t="str">
        <f t="shared" si="369"/>
        <v/>
      </c>
      <c r="CU38" s="57" t="str">
        <f t="shared" si="370"/>
        <v/>
      </c>
      <c r="CV38" s="57" t="str">
        <f t="shared" si="371"/>
        <v/>
      </c>
      <c r="CW38" s="57" t="str">
        <f t="shared" si="372"/>
        <v/>
      </c>
      <c r="CX38" s="57" t="str">
        <f t="shared" si="373"/>
        <v/>
      </c>
      <c r="CY38" s="57" t="str">
        <f t="shared" si="374"/>
        <v/>
      </c>
      <c r="CZ38" s="57" t="str">
        <f t="shared" si="375"/>
        <v/>
      </c>
      <c r="DA38" s="57" t="str">
        <f t="shared" si="376"/>
        <v/>
      </c>
      <c r="DB38" s="57" t="str">
        <f t="shared" si="377"/>
        <v/>
      </c>
      <c r="DC38" s="57" t="str">
        <f t="shared" si="378"/>
        <v/>
      </c>
      <c r="DD38" s="57" t="str">
        <f t="shared" si="379"/>
        <v/>
      </c>
      <c r="DE38" s="57" t="str">
        <f t="shared" si="380"/>
        <v/>
      </c>
      <c r="DF38" s="57" t="str">
        <f t="shared" si="381"/>
        <v/>
      </c>
      <c r="DG38" s="27"/>
      <c r="DH38" s="47" t="str">
        <f t="shared" ref="DH38:DL38" si="438">DH29</f>
        <v>Squat</v>
      </c>
      <c r="DI38" s="48" t="str">
        <f t="shared" si="438"/>
        <v/>
      </c>
      <c r="DJ38" s="49" t="str">
        <f t="shared" si="438"/>
        <v>Squat</v>
      </c>
      <c r="DK38" s="50">
        <f t="shared" si="438"/>
        <v>3</v>
      </c>
      <c r="DL38" s="51">
        <f t="shared" si="438"/>
        <v>3</v>
      </c>
      <c r="DM38" s="113">
        <f t="shared" ref="DM38:DM40" si="444">DM29+3</f>
        <v>91</v>
      </c>
      <c r="DN38" s="53">
        <f>IF(DH38="Squat",IF(DM38&gt;10,MROUND((DM38/100*SQMAX),2.5)," "),IF(DH38="Bench",IF(DM38&gt;10,MROUND((DM38/100*BNMAX),2.5)," "),IF(DH38="Deadlift",IF(DM38&gt;10,MROUND((DM38/100*DLMAX),2.5)," ")," ")))</f>
        <v>182.5</v>
      </c>
      <c r="DO38" s="26"/>
      <c r="DP38" s="54" t="str">
        <f>IFERROR((DN38/VLOOKUP(DO38,'RPE vs. %'!$D$3:$P$11,DL38+1,FALSE)),"")</f>
        <v/>
      </c>
      <c r="DQ38" s="55" t="s">
        <v>37</v>
      </c>
      <c r="DR38" s="27"/>
      <c r="DS38" s="27"/>
      <c r="DT38" s="57" t="str">
        <f t="shared" si="383"/>
        <v/>
      </c>
      <c r="DU38" s="57" t="str">
        <f t="shared" si="384"/>
        <v/>
      </c>
      <c r="DV38" s="57" t="str">
        <f t="shared" si="385"/>
        <v/>
      </c>
      <c r="DW38" s="57" t="str">
        <f t="shared" si="386"/>
        <v/>
      </c>
      <c r="DX38" s="57" t="str">
        <f t="shared" si="387"/>
        <v/>
      </c>
      <c r="DY38" s="57" t="str">
        <f t="shared" si="388"/>
        <v/>
      </c>
      <c r="DZ38" s="57" t="str">
        <f t="shared" si="389"/>
        <v/>
      </c>
      <c r="EA38" s="57" t="str">
        <f t="shared" si="390"/>
        <v/>
      </c>
      <c r="EB38" s="57" t="str">
        <f t="shared" si="391"/>
        <v/>
      </c>
      <c r="EC38" s="57" t="str">
        <f t="shared" si="392"/>
        <v/>
      </c>
      <c r="ED38" s="57" t="str">
        <f t="shared" si="393"/>
        <v/>
      </c>
      <c r="EE38" s="57" t="str">
        <f t="shared" si="394"/>
        <v/>
      </c>
      <c r="EF38" s="57" t="str">
        <f t="shared" si="395"/>
        <v/>
      </c>
      <c r="EG38" s="57" t="str">
        <f t="shared" si="396"/>
        <v/>
      </c>
      <c r="EH38" s="57" t="str">
        <f t="shared" si="397"/>
        <v/>
      </c>
      <c r="EI38" s="57" t="str">
        <f t="shared" si="398"/>
        <v/>
      </c>
      <c r="EJ38" s="57" t="str">
        <f t="shared" si="399"/>
        <v/>
      </c>
      <c r="EK38" s="57" t="str">
        <f t="shared" si="400"/>
        <v/>
      </c>
      <c r="EL38" s="57" t="str">
        <f t="shared" si="401"/>
        <v/>
      </c>
      <c r="EM38" s="57" t="str">
        <f t="shared" si="402"/>
        <v/>
      </c>
      <c r="EN38" s="57" t="str">
        <f t="shared" si="403"/>
        <v/>
      </c>
      <c r="EO38" s="57" t="str">
        <f t="shared" si="404"/>
        <v/>
      </c>
      <c r="EP38" s="57" t="str">
        <f t="shared" si="405"/>
        <v/>
      </c>
      <c r="EQ38" s="57" t="str">
        <f t="shared" si="406"/>
        <v/>
      </c>
      <c r="ER38" s="56" t="str">
        <f t="shared" si="407"/>
        <v>#REF!</v>
      </c>
      <c r="ES38" s="56" t="str">
        <f t="shared" si="408"/>
        <v>#REF!</v>
      </c>
      <c r="ET38" s="56" t="str">
        <f t="shared" si="409"/>
        <v>#REF!</v>
      </c>
      <c r="EU38" s="56" t="str">
        <f t="shared" si="410"/>
        <v>#REF!</v>
      </c>
      <c r="EV38" s="56" t="str">
        <f t="shared" si="411"/>
        <v>#REF!</v>
      </c>
      <c r="EW38" s="56" t="str">
        <f t="shared" si="412"/>
        <v>#REF!</v>
      </c>
      <c r="EX38" s="56" t="str">
        <f t="shared" si="413"/>
        <v>#REF!</v>
      </c>
      <c r="EY38" s="56" t="str">
        <f t="shared" si="414"/>
        <v>#REF!</v>
      </c>
      <c r="EZ38" s="56" t="str">
        <f t="shared" si="415"/>
        <v>#REF!</v>
      </c>
      <c r="FA38" s="56" t="str">
        <f t="shared" si="416"/>
        <v>#REF!</v>
      </c>
      <c r="FB38" s="56" t="str">
        <f t="shared" si="417"/>
        <v>#REF!</v>
      </c>
      <c r="FC38" s="56" t="str">
        <f t="shared" si="418"/>
        <v>#REF!</v>
      </c>
      <c r="FD38" s="56" t="str">
        <f t="shared" si="419"/>
        <v>#REF!</v>
      </c>
      <c r="FE38" s="56" t="str">
        <f t="shared" si="420"/>
        <v>#REF!</v>
      </c>
      <c r="FF38" s="56" t="str">
        <f t="shared" si="421"/>
        <v>#REF!</v>
      </c>
      <c r="FG38" s="56" t="str">
        <f t="shared" si="422"/>
        <v>#REF!</v>
      </c>
      <c r="FH38" s="56" t="str">
        <f t="shared" si="423"/>
        <v>#REF!</v>
      </c>
      <c r="FI38" s="56" t="str">
        <f t="shared" si="424"/>
        <v>#REF!</v>
      </c>
      <c r="FJ38" s="56" t="str">
        <f t="shared" si="425"/>
        <v>#REF!</v>
      </c>
      <c r="FK38" s="56" t="str">
        <f t="shared" si="426"/>
        <v>#REF!</v>
      </c>
      <c r="FL38" s="56" t="str">
        <f t="shared" si="427"/>
        <v>#REF!</v>
      </c>
      <c r="FM38" s="56" t="str">
        <f t="shared" si="428"/>
        <v>#REF!</v>
      </c>
      <c r="FN38" s="56" t="str">
        <f t="shared" si="429"/>
        <v>#REF!</v>
      </c>
      <c r="FO38" s="56" t="str">
        <f t="shared" si="430"/>
        <v>#REF!</v>
      </c>
    </row>
    <row r="39">
      <c r="A39" s="27"/>
      <c r="C39" s="46"/>
      <c r="D39" s="47" t="str">
        <f t="shared" ref="D39:H39" si="439">D30</f>
        <v>Squat</v>
      </c>
      <c r="E39" s="48" t="str">
        <f t="shared" si="439"/>
        <v/>
      </c>
      <c r="F39" s="49" t="str">
        <f t="shared" si="439"/>
        <v>Squat</v>
      </c>
      <c r="G39" s="50">
        <f t="shared" si="439"/>
        <v>1</v>
      </c>
      <c r="H39" s="51">
        <f t="shared" si="439"/>
        <v>5</v>
      </c>
      <c r="I39" s="64">
        <f t="shared" ref="I39:I40" si="446">I30+3</f>
        <v>81</v>
      </c>
      <c r="J39" s="53">
        <f>IF(D39="Squat",IF(I39&gt;10,MROUND((I39/100*SQMAX),2.5)," "),IF(D39="Bench",IF(I39&gt;10,MROUND((I39/100*BNMAX),2.5)," "),IF(D39="Deadlift",IF(I39&gt;10,MROUND((I39/100*DLMAX),2.5)," ")," ")))</f>
        <v>162.5</v>
      </c>
      <c r="K39" s="26"/>
      <c r="L39" s="66" t="str">
        <f>IFERROR((J39/VLOOKUP(K39,'RPE vs. %'!$D$3:$P$11,H39+1,FALSE)),"")</f>
        <v/>
      </c>
      <c r="M39" s="67"/>
      <c r="N39" s="27"/>
      <c r="O39" s="57" t="str">
        <f t="shared" si="308"/>
        <v/>
      </c>
      <c r="P39" s="57" t="str">
        <f t="shared" si="309"/>
        <v/>
      </c>
      <c r="Q39" s="57" t="str">
        <f t="shared" si="310"/>
        <v/>
      </c>
      <c r="R39" s="57" t="str">
        <f t="shared" si="311"/>
        <v/>
      </c>
      <c r="S39" s="57" t="str">
        <f t="shared" si="312"/>
        <v/>
      </c>
      <c r="T39" s="57" t="str">
        <f t="shared" si="313"/>
        <v/>
      </c>
      <c r="U39" s="57" t="str">
        <f t="shared" si="314"/>
        <v/>
      </c>
      <c r="V39" s="57" t="str">
        <f t="shared" si="315"/>
        <v/>
      </c>
      <c r="W39" s="57" t="str">
        <f t="shared" si="316"/>
        <v/>
      </c>
      <c r="X39" s="57" t="str">
        <f t="shared" si="317"/>
        <v/>
      </c>
      <c r="Y39" s="57" t="str">
        <f t="shared" si="318"/>
        <v/>
      </c>
      <c r="Z39" s="57" t="str">
        <f t="shared" si="319"/>
        <v/>
      </c>
      <c r="AA39" s="57" t="str">
        <f t="shared" si="320"/>
        <v/>
      </c>
      <c r="AB39" s="57" t="str">
        <f t="shared" si="321"/>
        <v/>
      </c>
      <c r="AC39" s="57" t="str">
        <f t="shared" si="322"/>
        <v/>
      </c>
      <c r="AD39" s="57" t="str">
        <f t="shared" si="323"/>
        <v/>
      </c>
      <c r="AE39" s="57" t="str">
        <f t="shared" si="324"/>
        <v/>
      </c>
      <c r="AF39" s="57" t="str">
        <f t="shared" si="325"/>
        <v/>
      </c>
      <c r="AG39" s="57" t="str">
        <f t="shared" si="326"/>
        <v/>
      </c>
      <c r="AH39" s="57" t="str">
        <f t="shared" si="327"/>
        <v/>
      </c>
      <c r="AI39" s="57" t="str">
        <f t="shared" si="328"/>
        <v/>
      </c>
      <c r="AJ39" s="57" t="str">
        <f t="shared" si="329"/>
        <v/>
      </c>
      <c r="AK39" s="57" t="str">
        <f t="shared" si="330"/>
        <v/>
      </c>
      <c r="AL39" s="57" t="str">
        <f t="shared" si="331"/>
        <v/>
      </c>
      <c r="AM39" s="27"/>
      <c r="AN39" s="58" t="str">
        <f t="shared" ref="AN39:AR39" si="440">AN30</f>
        <v>Deadlift</v>
      </c>
      <c r="AO39" s="59" t="str">
        <f t="shared" si="440"/>
        <v/>
      </c>
      <c r="AP39" s="60" t="str">
        <f t="shared" si="440"/>
        <v>Deadlift pause</v>
      </c>
      <c r="AQ39" s="61">
        <f t="shared" si="440"/>
        <v>2</v>
      </c>
      <c r="AR39" s="62">
        <f t="shared" si="440"/>
        <v>5</v>
      </c>
      <c r="AS39" s="111">
        <f t="shared" si="441"/>
        <v>69</v>
      </c>
      <c r="AT39" s="32">
        <f>IF(AN39="Squat",IF(AS39&gt;10,MROUND((AS39/100*SQMAX),2.5)," "),IF(AN39="Bench",IF(AS39&gt;10,MROUND((AS39/100*BNMAX),2.5)," "),IF(AN39="Deadlift",IF(AS39&gt;10,MROUND((AS39/100*DLMAX),2.5)," ")," ")))</f>
        <v>172.5</v>
      </c>
      <c r="AU39" s="26"/>
      <c r="AV39" s="66" t="str">
        <f>IFERROR((AT39/VLOOKUP(AU39,'RPE vs. %'!$D$3:$P$11,AR39+1,FALSE)),"")</f>
        <v/>
      </c>
      <c r="AW39" s="67"/>
      <c r="AX39" s="27"/>
      <c r="AY39" s="57" t="str">
        <f t="shared" si="333"/>
        <v/>
      </c>
      <c r="AZ39" s="57" t="str">
        <f t="shared" si="334"/>
        <v/>
      </c>
      <c r="BA39" s="57" t="str">
        <f t="shared" si="335"/>
        <v/>
      </c>
      <c r="BB39" s="57" t="str">
        <f t="shared" si="336"/>
        <v/>
      </c>
      <c r="BC39" s="57" t="str">
        <f t="shared" si="337"/>
        <v/>
      </c>
      <c r="BD39" s="57" t="str">
        <f t="shared" si="338"/>
        <v/>
      </c>
      <c r="BE39" s="57" t="str">
        <f t="shared" si="339"/>
        <v/>
      </c>
      <c r="BF39" s="57" t="str">
        <f t="shared" si="340"/>
        <v/>
      </c>
      <c r="BG39" s="57" t="str">
        <f t="shared" si="341"/>
        <v/>
      </c>
      <c r="BH39" s="57" t="str">
        <f t="shared" si="342"/>
        <v/>
      </c>
      <c r="BI39" s="57" t="str">
        <f t="shared" si="343"/>
        <v/>
      </c>
      <c r="BJ39" s="57" t="str">
        <f t="shared" si="344"/>
        <v/>
      </c>
      <c r="BK39" s="57" t="str">
        <f t="shared" si="345"/>
        <v/>
      </c>
      <c r="BL39" s="57" t="str">
        <f t="shared" si="346"/>
        <v/>
      </c>
      <c r="BM39" s="57" t="str">
        <f t="shared" si="347"/>
        <v/>
      </c>
      <c r="BN39" s="57" t="str">
        <f t="shared" si="348"/>
        <v/>
      </c>
      <c r="BO39" s="57" t="str">
        <f t="shared" si="349"/>
        <v/>
      </c>
      <c r="BP39" s="57" t="str">
        <f t="shared" si="350"/>
        <v/>
      </c>
      <c r="BQ39" s="57" t="str">
        <f t="shared" si="351"/>
        <v/>
      </c>
      <c r="BR39" s="57" t="str">
        <f t="shared" si="352"/>
        <v/>
      </c>
      <c r="BS39" s="57" t="str">
        <f t="shared" si="353"/>
        <v/>
      </c>
      <c r="BT39" s="57" t="str">
        <f t="shared" si="354"/>
        <v/>
      </c>
      <c r="BU39" s="57" t="str">
        <f t="shared" si="355"/>
        <v/>
      </c>
      <c r="BV39" s="57" t="str">
        <f t="shared" si="356"/>
        <v/>
      </c>
      <c r="BW39" s="27"/>
      <c r="BX39" s="69" t="str">
        <f t="shared" ref="BX39:CB39" si="442">BX30</f>
        <v>Bench</v>
      </c>
      <c r="BY39" s="70" t="str">
        <f t="shared" si="442"/>
        <v/>
      </c>
      <c r="BZ39" s="71" t="str">
        <f t="shared" si="442"/>
        <v>Bench</v>
      </c>
      <c r="CA39" s="72">
        <f t="shared" si="442"/>
        <v>4</v>
      </c>
      <c r="CB39" s="73">
        <f t="shared" si="442"/>
        <v>2</v>
      </c>
      <c r="CC39" s="126">
        <v>96.0</v>
      </c>
      <c r="CD39" s="75">
        <f>IF(BX39="Squat",IF(CC39&gt;10,MROUND((CC39/100*SQMAX),2.5)," "),IF(BX39="Bench",IF(CC39&gt;10,MROUND((CC39/100*BNMAX),2.5)," "),IF(BX39="Deadlift",IF(CC39&gt;10,MROUND((CC39/100*DLMAX),2.5)," ")," ")))</f>
        <v>135</v>
      </c>
      <c r="CE39" s="26"/>
      <c r="CF39" s="66" t="str">
        <f>IFERROR((CD39/VLOOKUP(CE39,'RPE vs. %'!$D$3:$P$11,CB39+1,FALSE)),"")</f>
        <v/>
      </c>
      <c r="CG39" s="67"/>
      <c r="CH39" s="27"/>
      <c r="CI39" s="57" t="str">
        <f t="shared" si="358"/>
        <v/>
      </c>
      <c r="CJ39" s="57" t="str">
        <f t="shared" si="359"/>
        <v/>
      </c>
      <c r="CK39" s="57" t="str">
        <f t="shared" si="360"/>
        <v/>
      </c>
      <c r="CL39" s="57" t="str">
        <f t="shared" si="361"/>
        <v/>
      </c>
      <c r="CM39" s="57" t="str">
        <f t="shared" si="362"/>
        <v/>
      </c>
      <c r="CN39" s="57" t="str">
        <f t="shared" si="363"/>
        <v/>
      </c>
      <c r="CO39" s="57" t="str">
        <f t="shared" si="364"/>
        <v/>
      </c>
      <c r="CP39" s="57" t="str">
        <f t="shared" si="365"/>
        <v/>
      </c>
      <c r="CQ39" s="57" t="str">
        <f t="shared" si="366"/>
        <v/>
      </c>
      <c r="CR39" s="57" t="str">
        <f t="shared" si="367"/>
        <v/>
      </c>
      <c r="CS39" s="57" t="str">
        <f t="shared" si="368"/>
        <v/>
      </c>
      <c r="CT39" s="57" t="str">
        <f t="shared" si="369"/>
        <v/>
      </c>
      <c r="CU39" s="57" t="str">
        <f t="shared" si="370"/>
        <v/>
      </c>
      <c r="CV39" s="57" t="str">
        <f t="shared" si="371"/>
        <v/>
      </c>
      <c r="CW39" s="57" t="str">
        <f t="shared" si="372"/>
        <v/>
      </c>
      <c r="CX39" s="57" t="str">
        <f t="shared" si="373"/>
        <v/>
      </c>
      <c r="CY39" s="57" t="str">
        <f t="shared" si="374"/>
        <v/>
      </c>
      <c r="CZ39" s="57" t="str">
        <f t="shared" si="375"/>
        <v/>
      </c>
      <c r="DA39" s="57" t="str">
        <f t="shared" si="376"/>
        <v/>
      </c>
      <c r="DB39" s="57" t="str">
        <f t="shared" si="377"/>
        <v/>
      </c>
      <c r="DC39" s="57" t="str">
        <f t="shared" si="378"/>
        <v/>
      </c>
      <c r="DD39" s="57" t="str">
        <f t="shared" si="379"/>
        <v/>
      </c>
      <c r="DE39" s="57" t="str">
        <f t="shared" si="380"/>
        <v/>
      </c>
      <c r="DF39" s="57" t="str">
        <f t="shared" si="381"/>
        <v/>
      </c>
      <c r="DG39" s="27"/>
      <c r="DH39" s="69" t="str">
        <f t="shared" ref="DH39:DL39" si="443">DH30</f>
        <v>Bench</v>
      </c>
      <c r="DI39" s="70" t="str">
        <f t="shared" si="443"/>
        <v/>
      </c>
      <c r="DJ39" s="71" t="str">
        <f t="shared" si="443"/>
        <v>Bench</v>
      </c>
      <c r="DK39" s="72">
        <f t="shared" si="443"/>
        <v>3</v>
      </c>
      <c r="DL39" s="73">
        <f t="shared" si="443"/>
        <v>3</v>
      </c>
      <c r="DM39" s="115">
        <f t="shared" si="444"/>
        <v>91</v>
      </c>
      <c r="DN39" s="75">
        <f>IF(DH39="Squat",IF(DM39&gt;10,MROUND((DM39/100*SQMAX),2.5)," "),IF(DH39="Bench",IF(DM39&gt;10,MROUND((DM39/100*BNMAX),2.5)," "),IF(DH39="Deadlift",IF(DM39&gt;10,MROUND((DM39/100*DLMAX),2.5)," ")," ")))</f>
        <v>127.5</v>
      </c>
      <c r="DO39" s="26"/>
      <c r="DP39" s="66" t="str">
        <f>IFERROR((DN39/VLOOKUP(DO39,'RPE vs. %'!$D$3:$P$11,DL39+1,FALSE)),"")</f>
        <v/>
      </c>
      <c r="DQ39" s="67"/>
      <c r="DR39" s="27"/>
      <c r="DS39" s="27"/>
      <c r="DT39" s="57" t="str">
        <f t="shared" si="383"/>
        <v/>
      </c>
      <c r="DU39" s="57" t="str">
        <f t="shared" si="384"/>
        <v/>
      </c>
      <c r="DV39" s="57" t="str">
        <f t="shared" si="385"/>
        <v/>
      </c>
      <c r="DW39" s="57" t="str">
        <f t="shared" si="386"/>
        <v/>
      </c>
      <c r="DX39" s="57" t="str">
        <f t="shared" si="387"/>
        <v/>
      </c>
      <c r="DY39" s="57" t="str">
        <f t="shared" si="388"/>
        <v/>
      </c>
      <c r="DZ39" s="57" t="str">
        <f t="shared" si="389"/>
        <v/>
      </c>
      <c r="EA39" s="57" t="str">
        <f t="shared" si="390"/>
        <v/>
      </c>
      <c r="EB39" s="57" t="str">
        <f t="shared" si="391"/>
        <v/>
      </c>
      <c r="EC39" s="57" t="str">
        <f t="shared" si="392"/>
        <v/>
      </c>
      <c r="ED39" s="57" t="str">
        <f t="shared" si="393"/>
        <v/>
      </c>
      <c r="EE39" s="57" t="str">
        <f t="shared" si="394"/>
        <v/>
      </c>
      <c r="EF39" s="57" t="str">
        <f t="shared" si="395"/>
        <v/>
      </c>
      <c r="EG39" s="57" t="str">
        <f t="shared" si="396"/>
        <v/>
      </c>
      <c r="EH39" s="57" t="str">
        <f t="shared" si="397"/>
        <v/>
      </c>
      <c r="EI39" s="57" t="str">
        <f t="shared" si="398"/>
        <v/>
      </c>
      <c r="EJ39" s="57" t="str">
        <f t="shared" si="399"/>
        <v/>
      </c>
      <c r="EK39" s="57" t="str">
        <f t="shared" si="400"/>
        <v/>
      </c>
      <c r="EL39" s="57" t="str">
        <f t="shared" si="401"/>
        <v/>
      </c>
      <c r="EM39" s="57" t="str">
        <f t="shared" si="402"/>
        <v/>
      </c>
      <c r="EN39" s="57" t="str">
        <f t="shared" si="403"/>
        <v/>
      </c>
      <c r="EO39" s="57" t="str">
        <f t="shared" si="404"/>
        <v/>
      </c>
      <c r="EP39" s="57" t="str">
        <f t="shared" si="405"/>
        <v/>
      </c>
      <c r="EQ39" s="57" t="str">
        <f t="shared" si="406"/>
        <v/>
      </c>
      <c r="ER39" s="56" t="str">
        <f t="shared" si="407"/>
        <v>#REF!</v>
      </c>
      <c r="ES39" s="56" t="str">
        <f t="shared" si="408"/>
        <v>#REF!</v>
      </c>
      <c r="ET39" s="56" t="str">
        <f t="shared" si="409"/>
        <v>#REF!</v>
      </c>
      <c r="EU39" s="56" t="str">
        <f t="shared" si="410"/>
        <v>#REF!</v>
      </c>
      <c r="EV39" s="56" t="str">
        <f t="shared" si="411"/>
        <v>#REF!</v>
      </c>
      <c r="EW39" s="56" t="str">
        <f t="shared" si="412"/>
        <v>#REF!</v>
      </c>
      <c r="EX39" s="56" t="str">
        <f t="shared" si="413"/>
        <v>#REF!</v>
      </c>
      <c r="EY39" s="56" t="str">
        <f t="shared" si="414"/>
        <v>#REF!</v>
      </c>
      <c r="EZ39" s="56" t="str">
        <f t="shared" si="415"/>
        <v>#REF!</v>
      </c>
      <c r="FA39" s="56" t="str">
        <f t="shared" si="416"/>
        <v>#REF!</v>
      </c>
      <c r="FB39" s="56" t="str">
        <f t="shared" si="417"/>
        <v>#REF!</v>
      </c>
      <c r="FC39" s="56" t="str">
        <f t="shared" si="418"/>
        <v>#REF!</v>
      </c>
      <c r="FD39" s="56" t="str">
        <f t="shared" si="419"/>
        <v>#REF!</v>
      </c>
      <c r="FE39" s="56" t="str">
        <f t="shared" si="420"/>
        <v>#REF!</v>
      </c>
      <c r="FF39" s="56" t="str">
        <f t="shared" si="421"/>
        <v>#REF!</v>
      </c>
      <c r="FG39" s="56" t="str">
        <f t="shared" si="422"/>
        <v>#REF!</v>
      </c>
      <c r="FH39" s="56" t="str">
        <f t="shared" si="423"/>
        <v>#REF!</v>
      </c>
      <c r="FI39" s="56" t="str">
        <f t="shared" si="424"/>
        <v>#REF!</v>
      </c>
      <c r="FJ39" s="56" t="str">
        <f t="shared" si="425"/>
        <v>#REF!</v>
      </c>
      <c r="FK39" s="56" t="str">
        <f t="shared" si="426"/>
        <v>#REF!</v>
      </c>
      <c r="FL39" s="56" t="str">
        <f t="shared" si="427"/>
        <v>#REF!</v>
      </c>
      <c r="FM39" s="56" t="str">
        <f t="shared" si="428"/>
        <v>#REF!</v>
      </c>
      <c r="FN39" s="56" t="str">
        <f t="shared" si="429"/>
        <v>#REF!</v>
      </c>
      <c r="FO39" s="56" t="str">
        <f t="shared" si="430"/>
        <v>#REF!</v>
      </c>
    </row>
    <row r="40">
      <c r="A40" s="27"/>
      <c r="C40" s="46"/>
      <c r="D40" s="69" t="str">
        <f t="shared" ref="D40:H40" si="445">D31</f>
        <v>Bench</v>
      </c>
      <c r="E40" s="70" t="str">
        <f t="shared" si="445"/>
        <v/>
      </c>
      <c r="F40" s="71" t="str">
        <f t="shared" si="445"/>
        <v>Bench </v>
      </c>
      <c r="G40" s="72">
        <f t="shared" si="445"/>
        <v>3</v>
      </c>
      <c r="H40" s="73">
        <f t="shared" si="445"/>
        <v>8</v>
      </c>
      <c r="I40" s="74">
        <f t="shared" si="446"/>
        <v>79</v>
      </c>
      <c r="J40" s="75">
        <f>IF(D40="Squat",IF(I40&gt;10,MROUND((I40/100*SQMAX),2.5)," "),IF(D40="Bench",IF(I40&gt;10,MROUND((I40/100*BNMAX),2.5)," "),IF(D40="Deadlift",IF(I40&gt;10,MROUND((I40/100*DLMAX),2.5)," ")," ")))</f>
        <v>110</v>
      </c>
      <c r="K40" s="26"/>
      <c r="L40" s="66" t="str">
        <f>IFERROR((J40/VLOOKUP(K40,'RPE vs. %'!$D$3:$P$11,H40+1,FALSE)),"")</f>
        <v/>
      </c>
      <c r="M40" s="67"/>
      <c r="N40" s="27"/>
      <c r="O40" s="91">
        <f t="shared" ref="O40:AL40" si="447">SUM(O33:O39)</f>
        <v>3</v>
      </c>
      <c r="P40" s="91">
        <f t="shared" si="447"/>
        <v>2225</v>
      </c>
      <c r="Q40" s="91">
        <f t="shared" si="447"/>
        <v>3</v>
      </c>
      <c r="R40" s="91">
        <f t="shared" si="447"/>
        <v>2580</v>
      </c>
      <c r="S40" s="91">
        <f t="shared" si="447"/>
        <v>0</v>
      </c>
      <c r="T40" s="91">
        <f t="shared" si="447"/>
        <v>0</v>
      </c>
      <c r="U40" s="91">
        <f t="shared" si="447"/>
        <v>0</v>
      </c>
      <c r="V40" s="91">
        <f t="shared" si="447"/>
        <v>0</v>
      </c>
      <c r="W40" s="91">
        <f t="shared" si="447"/>
        <v>0</v>
      </c>
      <c r="X40" s="91">
        <f t="shared" si="447"/>
        <v>0</v>
      </c>
      <c r="Y40" s="91">
        <f t="shared" si="447"/>
        <v>0</v>
      </c>
      <c r="Z40" s="91">
        <f t="shared" si="447"/>
        <v>0</v>
      </c>
      <c r="AA40" s="91">
        <f t="shared" si="447"/>
        <v>0</v>
      </c>
      <c r="AB40" s="91">
        <f t="shared" si="447"/>
        <v>0</v>
      </c>
      <c r="AC40" s="91">
        <f t="shared" si="447"/>
        <v>0</v>
      </c>
      <c r="AD40" s="91">
        <f t="shared" si="447"/>
        <v>0</v>
      </c>
      <c r="AE40" s="91">
        <f t="shared" si="447"/>
        <v>0</v>
      </c>
      <c r="AF40" s="91">
        <f t="shared" si="447"/>
        <v>0</v>
      </c>
      <c r="AG40" s="91">
        <f t="shared" si="447"/>
        <v>0</v>
      </c>
      <c r="AH40" s="91">
        <f t="shared" si="447"/>
        <v>0</v>
      </c>
      <c r="AI40" s="91">
        <f t="shared" si="447"/>
        <v>0</v>
      </c>
      <c r="AJ40" s="91">
        <f t="shared" si="447"/>
        <v>0</v>
      </c>
      <c r="AK40" s="91">
        <f t="shared" si="447"/>
        <v>0</v>
      </c>
      <c r="AL40" s="91">
        <f t="shared" si="447"/>
        <v>0</v>
      </c>
      <c r="AM40" s="27"/>
      <c r="AN40" s="69" t="str">
        <f t="shared" ref="AN40:AR40" si="448">AN31</f>
        <v>Bench</v>
      </c>
      <c r="AO40" s="70" t="str">
        <f t="shared" si="448"/>
        <v/>
      </c>
      <c r="AP40" s="71" t="str">
        <f t="shared" si="448"/>
        <v>Bench larsen</v>
      </c>
      <c r="AQ40" s="72">
        <f t="shared" si="448"/>
        <v>3</v>
      </c>
      <c r="AR40" s="73">
        <f t="shared" si="448"/>
        <v>5</v>
      </c>
      <c r="AS40" s="114">
        <f t="shared" si="441"/>
        <v>73</v>
      </c>
      <c r="AT40" s="75">
        <f>IF(AN40="Squat",IF(AS40&gt;10,MROUND((AS40/100*SQMAX),2.5)," "),IF(AN40="Bench",IF(AS40&gt;10,MROUND((AS40/100*BNMAX),2.5)," "),IF(AN40="Deadlift",IF(AS40&gt;10,MROUND((AS40/100*DLMAX),2.5)," ")," ")))</f>
        <v>102.5</v>
      </c>
      <c r="AU40" s="26"/>
      <c r="AV40" s="66" t="str">
        <f>IFERROR((AT40/VLOOKUP(AU40,'RPE vs. %'!$D$3:$P$11,AR40+1,FALSE)),"")</f>
        <v/>
      </c>
      <c r="AW40" s="67"/>
      <c r="AX40" s="27"/>
      <c r="AY40" s="91">
        <f t="shared" ref="AY40:BV40" si="449">SUM(AY33:AY39)</f>
        <v>0</v>
      </c>
      <c r="AZ40" s="91">
        <f t="shared" si="449"/>
        <v>0</v>
      </c>
      <c r="BA40" s="91">
        <f t="shared" si="449"/>
        <v>3</v>
      </c>
      <c r="BB40" s="91">
        <f t="shared" si="449"/>
        <v>1462.5</v>
      </c>
      <c r="BC40" s="91">
        <f t="shared" si="449"/>
        <v>5</v>
      </c>
      <c r="BD40" s="91">
        <f t="shared" si="449"/>
        <v>3585</v>
      </c>
      <c r="BE40" s="91">
        <f t="shared" si="449"/>
        <v>0</v>
      </c>
      <c r="BF40" s="91">
        <f t="shared" si="449"/>
        <v>0</v>
      </c>
      <c r="BG40" s="91">
        <f t="shared" si="449"/>
        <v>0</v>
      </c>
      <c r="BH40" s="91">
        <f t="shared" si="449"/>
        <v>0</v>
      </c>
      <c r="BI40" s="91">
        <f t="shared" si="449"/>
        <v>0</v>
      </c>
      <c r="BJ40" s="91">
        <f t="shared" si="449"/>
        <v>0</v>
      </c>
      <c r="BK40" s="91">
        <f t="shared" si="449"/>
        <v>0</v>
      </c>
      <c r="BL40" s="91">
        <f t="shared" si="449"/>
        <v>0</v>
      </c>
      <c r="BM40" s="91">
        <f t="shared" si="449"/>
        <v>0</v>
      </c>
      <c r="BN40" s="91">
        <f t="shared" si="449"/>
        <v>0</v>
      </c>
      <c r="BO40" s="91">
        <f t="shared" si="449"/>
        <v>0</v>
      </c>
      <c r="BP40" s="91">
        <f t="shared" si="449"/>
        <v>0</v>
      </c>
      <c r="BQ40" s="91">
        <f t="shared" si="449"/>
        <v>0</v>
      </c>
      <c r="BR40" s="91">
        <f t="shared" si="449"/>
        <v>0</v>
      </c>
      <c r="BS40" s="91">
        <f t="shared" si="449"/>
        <v>0</v>
      </c>
      <c r="BT40" s="91">
        <f t="shared" si="449"/>
        <v>0</v>
      </c>
      <c r="BU40" s="91">
        <f t="shared" si="449"/>
        <v>0</v>
      </c>
      <c r="BV40" s="91">
        <f t="shared" si="449"/>
        <v>0</v>
      </c>
      <c r="BW40" s="27"/>
      <c r="BX40" s="69" t="str">
        <f t="shared" ref="BX40:CB40" si="450">BX31</f>
        <v>Bench</v>
      </c>
      <c r="BY40" s="70" t="str">
        <f t="shared" si="450"/>
        <v/>
      </c>
      <c r="BZ40" s="71" t="str">
        <f t="shared" si="450"/>
        <v>bench fatigued single </v>
      </c>
      <c r="CA40" s="72">
        <f t="shared" si="450"/>
        <v>2</v>
      </c>
      <c r="CB40" s="73">
        <f t="shared" si="450"/>
        <v>1</v>
      </c>
      <c r="CC40" s="128">
        <v>104.0</v>
      </c>
      <c r="CD40" s="75">
        <f>IF(BX40="Squat",IF(CC40&gt;10,MROUND((CC40/100*SQMAX),2.5)," "),IF(BX40="Bench",IF(CC40&gt;10,MROUND((CC40/100*BNMAX),2.5)," "),IF(BX40="Deadlift",IF(CC40&gt;10,MROUND((CC40/100*DLMAX),2.5)," ")," ")))</f>
        <v>145</v>
      </c>
      <c r="CE40" s="26"/>
      <c r="CF40" s="66" t="str">
        <f>IFERROR((CD40/VLOOKUP(CE40,'RPE vs. %'!$D$3:$P$11,CB40+1,FALSE)),"")</f>
        <v/>
      </c>
      <c r="CG40" s="67"/>
      <c r="CH40" s="27"/>
      <c r="CI40" s="91">
        <f t="shared" ref="CI40:DF40" si="451">SUM(CI33:CI39)</f>
        <v>3</v>
      </c>
      <c r="CJ40" s="91">
        <f t="shared" si="451"/>
        <v>2175</v>
      </c>
      <c r="CK40" s="91">
        <f t="shared" si="451"/>
        <v>6</v>
      </c>
      <c r="CL40" s="91">
        <f t="shared" si="451"/>
        <v>1325</v>
      </c>
      <c r="CM40" s="91">
        <f t="shared" si="451"/>
        <v>0</v>
      </c>
      <c r="CN40" s="91">
        <f t="shared" si="451"/>
        <v>0</v>
      </c>
      <c r="CO40" s="91">
        <f t="shared" si="451"/>
        <v>0</v>
      </c>
      <c r="CP40" s="91">
        <f t="shared" si="451"/>
        <v>0</v>
      </c>
      <c r="CQ40" s="91">
        <f t="shared" si="451"/>
        <v>0</v>
      </c>
      <c r="CR40" s="91">
        <f t="shared" si="451"/>
        <v>0</v>
      </c>
      <c r="CS40" s="91">
        <f t="shared" si="451"/>
        <v>0</v>
      </c>
      <c r="CT40" s="91">
        <f t="shared" si="451"/>
        <v>0</v>
      </c>
      <c r="CU40" s="91">
        <f t="shared" si="451"/>
        <v>0</v>
      </c>
      <c r="CV40" s="91">
        <f t="shared" si="451"/>
        <v>0</v>
      </c>
      <c r="CW40" s="91">
        <f t="shared" si="451"/>
        <v>0</v>
      </c>
      <c r="CX40" s="91">
        <f t="shared" si="451"/>
        <v>0</v>
      </c>
      <c r="CY40" s="91">
        <f t="shared" si="451"/>
        <v>0</v>
      </c>
      <c r="CZ40" s="91">
        <f t="shared" si="451"/>
        <v>0</v>
      </c>
      <c r="DA40" s="91">
        <f t="shared" si="451"/>
        <v>0</v>
      </c>
      <c r="DB40" s="91">
        <f t="shared" si="451"/>
        <v>0</v>
      </c>
      <c r="DC40" s="91">
        <f t="shared" si="451"/>
        <v>0</v>
      </c>
      <c r="DD40" s="91">
        <f t="shared" si="451"/>
        <v>0</v>
      </c>
      <c r="DE40" s="91">
        <f t="shared" si="451"/>
        <v>0</v>
      </c>
      <c r="DF40" s="91">
        <f t="shared" si="451"/>
        <v>0</v>
      </c>
      <c r="DG40" s="27"/>
      <c r="DH40" s="58" t="str">
        <f t="shared" ref="DH40:DL40" si="452">DH31</f>
        <v>Deadlift</v>
      </c>
      <c r="DI40" s="59" t="str">
        <f t="shared" si="452"/>
        <v/>
      </c>
      <c r="DJ40" s="60" t="str">
        <f t="shared" si="452"/>
        <v>Deadlift</v>
      </c>
      <c r="DK40" s="61">
        <f t="shared" si="452"/>
        <v>3</v>
      </c>
      <c r="DL40" s="62">
        <f t="shared" si="452"/>
        <v>3</v>
      </c>
      <c r="DM40" s="116">
        <f t="shared" si="444"/>
        <v>91</v>
      </c>
      <c r="DN40" s="32">
        <f>IF(DH40="Squat",IF(DM40&gt;10,MROUND((DM40/100*SQMAX),2.5)," "),IF(DH40="Bench",IF(DM40&gt;10,MROUND((DM40/100*BNMAX),2.5)," "),IF(DH40="Deadlift",IF(DM40&gt;10,MROUND((DM40/100*DLMAX),2.5)," ")," ")))</f>
        <v>227.5</v>
      </c>
      <c r="DO40" s="26"/>
      <c r="DP40" s="66" t="str">
        <f>IFERROR((DN40/VLOOKUP(DO40,'RPE vs. %'!$D$3:$P$11,DL40+1,FALSE)),"")</f>
        <v/>
      </c>
      <c r="DQ40" s="67"/>
      <c r="DR40" s="27"/>
      <c r="DS40" s="27"/>
      <c r="DT40" s="91">
        <f t="shared" ref="DT40:FO40" si="453">SUM(DT33:DT39)</f>
        <v>3</v>
      </c>
      <c r="DU40" s="91">
        <f t="shared" si="453"/>
        <v>1575</v>
      </c>
      <c r="DV40" s="91">
        <f t="shared" si="453"/>
        <v>3</v>
      </c>
      <c r="DW40" s="91">
        <f t="shared" si="453"/>
        <v>1102.5</v>
      </c>
      <c r="DX40" s="91">
        <f t="shared" si="453"/>
        <v>3</v>
      </c>
      <c r="DY40" s="91">
        <f t="shared" si="453"/>
        <v>1980</v>
      </c>
      <c r="DZ40" s="91">
        <f t="shared" si="453"/>
        <v>0</v>
      </c>
      <c r="EA40" s="91">
        <f t="shared" si="453"/>
        <v>0</v>
      </c>
      <c r="EB40" s="91">
        <f t="shared" si="453"/>
        <v>0</v>
      </c>
      <c r="EC40" s="91">
        <f t="shared" si="453"/>
        <v>0</v>
      </c>
      <c r="ED40" s="91">
        <f t="shared" si="453"/>
        <v>0</v>
      </c>
      <c r="EE40" s="91">
        <f t="shared" si="453"/>
        <v>0</v>
      </c>
      <c r="EF40" s="91">
        <f t="shared" si="453"/>
        <v>0</v>
      </c>
      <c r="EG40" s="91">
        <f t="shared" si="453"/>
        <v>0</v>
      </c>
      <c r="EH40" s="91">
        <f t="shared" si="453"/>
        <v>0</v>
      </c>
      <c r="EI40" s="91">
        <f t="shared" si="453"/>
        <v>0</v>
      </c>
      <c r="EJ40" s="91">
        <f t="shared" si="453"/>
        <v>0</v>
      </c>
      <c r="EK40" s="91">
        <f t="shared" si="453"/>
        <v>0</v>
      </c>
      <c r="EL40" s="91">
        <f t="shared" si="453"/>
        <v>0</v>
      </c>
      <c r="EM40" s="91">
        <f t="shared" si="453"/>
        <v>0</v>
      </c>
      <c r="EN40" s="91">
        <f t="shared" si="453"/>
        <v>0</v>
      </c>
      <c r="EO40" s="91">
        <f t="shared" si="453"/>
        <v>0</v>
      </c>
      <c r="EP40" s="91">
        <f t="shared" si="453"/>
        <v>0</v>
      </c>
      <c r="EQ40" s="91">
        <f t="shared" si="453"/>
        <v>0</v>
      </c>
      <c r="ER40" s="91" t="str">
        <f t="shared" si="453"/>
        <v>#REF!</v>
      </c>
      <c r="ES40" s="91" t="str">
        <f t="shared" si="453"/>
        <v>#REF!</v>
      </c>
      <c r="ET40" s="91" t="str">
        <f t="shared" si="453"/>
        <v>#REF!</v>
      </c>
      <c r="EU40" s="91" t="str">
        <f t="shared" si="453"/>
        <v>#REF!</v>
      </c>
      <c r="EV40" s="91" t="str">
        <f t="shared" si="453"/>
        <v>#REF!</v>
      </c>
      <c r="EW40" s="91" t="str">
        <f t="shared" si="453"/>
        <v>#REF!</v>
      </c>
      <c r="EX40" s="91" t="str">
        <f t="shared" si="453"/>
        <v>#REF!</v>
      </c>
      <c r="EY40" s="91" t="str">
        <f t="shared" si="453"/>
        <v>#REF!</v>
      </c>
      <c r="EZ40" s="91" t="str">
        <f t="shared" si="453"/>
        <v>#REF!</v>
      </c>
      <c r="FA40" s="91" t="str">
        <f t="shared" si="453"/>
        <v>#REF!</v>
      </c>
      <c r="FB40" s="91" t="str">
        <f t="shared" si="453"/>
        <v>#REF!</v>
      </c>
      <c r="FC40" s="91" t="str">
        <f t="shared" si="453"/>
        <v>#REF!</v>
      </c>
      <c r="FD40" s="91" t="str">
        <f t="shared" si="453"/>
        <v>#REF!</v>
      </c>
      <c r="FE40" s="91" t="str">
        <f t="shared" si="453"/>
        <v>#REF!</v>
      </c>
      <c r="FF40" s="91" t="str">
        <f t="shared" si="453"/>
        <v>#REF!</v>
      </c>
      <c r="FG40" s="91" t="str">
        <f t="shared" si="453"/>
        <v>#REF!</v>
      </c>
      <c r="FH40" s="91" t="str">
        <f t="shared" si="453"/>
        <v>#REF!</v>
      </c>
      <c r="FI40" s="91" t="str">
        <f t="shared" si="453"/>
        <v>#REF!</v>
      </c>
      <c r="FJ40" s="91" t="str">
        <f t="shared" si="453"/>
        <v>#REF!</v>
      </c>
      <c r="FK40" s="91" t="str">
        <f t="shared" si="453"/>
        <v>#REF!</v>
      </c>
      <c r="FL40" s="91" t="str">
        <f t="shared" si="453"/>
        <v>#REF!</v>
      </c>
      <c r="FM40" s="91" t="str">
        <f t="shared" si="453"/>
        <v>#REF!</v>
      </c>
      <c r="FN40" s="91" t="str">
        <f t="shared" si="453"/>
        <v>#REF!</v>
      </c>
      <c r="FO40" s="91" t="str">
        <f t="shared" si="453"/>
        <v>#REF!</v>
      </c>
    </row>
    <row r="41">
      <c r="A41" s="27"/>
      <c r="C41" s="46"/>
      <c r="D41" s="78" t="str">
        <f t="shared" ref="D41:H41" si="454">D32</f>
        <v>Renfo</v>
      </c>
      <c r="E41" s="79" t="str">
        <f t="shared" si="454"/>
        <v/>
      </c>
      <c r="F41" s="80" t="str">
        <f t="shared" si="454"/>
        <v>Hack squat</v>
      </c>
      <c r="G41" s="81">
        <f t="shared" si="454"/>
        <v>2</v>
      </c>
      <c r="H41" s="82">
        <f t="shared" si="454"/>
        <v>45938</v>
      </c>
      <c r="I41" s="1" t="str">
        <f t="shared" ref="I41:I44" si="459">I14</f>
        <v/>
      </c>
      <c r="J41" s="34" t="str">
        <f>IF(D41="Squat",IF(I41&gt;10,MROUND((I41/100*SQMAX),2.5)," "),IF(D41="Bench",IF(I41&gt;10,MROUND((I41/100*BNMAX),2.5)," "),IF(D41="Deadlift",IF(I41&gt;10,MROUND((I41/100*DLMAX),2.5)," ")," ")))</f>
        <v> </v>
      </c>
      <c r="K41" s="26"/>
      <c r="L41" s="66" t="str">
        <f>IFERROR((J41/VLOOKUP(K41,'RPE vs. %'!$D$3:$P$11,H41+1,FALSE)),"")</f>
        <v/>
      </c>
      <c r="M41" s="67"/>
      <c r="N41" s="27"/>
      <c r="O41" s="94" t="s">
        <v>61</v>
      </c>
      <c r="AM41" s="27"/>
      <c r="AN41" s="78" t="str">
        <f t="shared" ref="AN41:AR41" si="455">AN32</f>
        <v>Renfo</v>
      </c>
      <c r="AO41" s="79" t="str">
        <f t="shared" si="455"/>
        <v/>
      </c>
      <c r="AP41" s="80" t="str">
        <f t="shared" si="455"/>
        <v>Rdl uni</v>
      </c>
      <c r="AQ41" s="81">
        <f t="shared" si="455"/>
        <v>3</v>
      </c>
      <c r="AR41" s="85">
        <f t="shared" si="455"/>
        <v>8</v>
      </c>
      <c r="AS41" s="117" t="str">
        <f t="shared" ref="AS41:AS44" si="461">AS14</f>
        <v/>
      </c>
      <c r="AT41" s="34" t="str">
        <f>IF(AN41="Squat",IF(AS41&gt;10,MROUND((AS41/100*SQMAX),2.5)," "),IF(AN41="Bench",IF(AS41&gt;10,MROUND((AS41/100*BNMAX),2.5)," "),IF(AN41="Deadlift",IF(AS41&gt;10,MROUND((AS41/100*DLMAX),2.5)," ")," ")))</f>
        <v> </v>
      </c>
      <c r="AU41" s="26"/>
      <c r="AV41" s="66" t="str">
        <f>IFERROR((AT41/VLOOKUP(AU41,'RPE vs. %'!$D$3:$P$11,AR41+1,FALSE)),"")</f>
        <v/>
      </c>
      <c r="AW41" s="67"/>
      <c r="AX41" s="27"/>
      <c r="AY41" s="94" t="s">
        <v>61</v>
      </c>
      <c r="BW41" s="27"/>
      <c r="BX41" s="78" t="str">
        <f t="shared" ref="BX41:CB41" si="456">BX32</f>
        <v>Renfo</v>
      </c>
      <c r="BY41" s="79" t="str">
        <f t="shared" si="456"/>
        <v/>
      </c>
      <c r="BZ41" s="80" t="str">
        <f t="shared" si="456"/>
        <v>chest press</v>
      </c>
      <c r="CA41" s="81">
        <f t="shared" si="456"/>
        <v>3</v>
      </c>
      <c r="CB41" s="85">
        <f t="shared" si="456"/>
        <v>12</v>
      </c>
      <c r="CC41" s="117" t="str">
        <f t="shared" ref="CC41:CC44" si="463">CC14</f>
        <v/>
      </c>
      <c r="CD41" s="34" t="str">
        <f>IF(BX41="Squat",IF(CC41&gt;10,MROUND((CC41/100*SQMAX),2.5)," "),IF(BX41="Bench",IF(CC41&gt;10,MROUND((CC41/100*BNMAX),2.5)," "),IF(BX41="Deadlift",IF(CC41&gt;10,MROUND((CC41/100*DLMAX),2.5)," ")," ")))</f>
        <v> </v>
      </c>
      <c r="CE41" s="26"/>
      <c r="CF41" s="66" t="str">
        <f>IFERROR((CD41/VLOOKUP(CE41,'RPE vs. %'!$D$3:$P$11,CB41+1,FALSE)),"")</f>
        <v/>
      </c>
      <c r="CG41" s="67"/>
      <c r="CH41" s="27"/>
      <c r="CI41" s="94" t="s">
        <v>61</v>
      </c>
      <c r="DG41" s="27"/>
      <c r="DH41" s="78" t="str">
        <f t="shared" ref="DH41:DL41" si="457">DH32</f>
        <v>Renfo</v>
      </c>
      <c r="DI41" s="79" t="str">
        <f t="shared" si="457"/>
        <v/>
      </c>
      <c r="DJ41" s="80" t="str">
        <f t="shared" si="457"/>
        <v>Back extension</v>
      </c>
      <c r="DK41" s="81">
        <f t="shared" si="457"/>
        <v>5</v>
      </c>
      <c r="DL41" s="85">
        <f t="shared" si="457"/>
        <v>12</v>
      </c>
      <c r="DM41" s="119" t="str">
        <f t="shared" ref="DM41:DM44" si="465">DM14</f>
        <v/>
      </c>
      <c r="DN41" s="34" t="str">
        <f>IF(DH41="Squat",IF(DM41&gt;10,MROUND((DM41/100*SQMAX),2.5)," "),IF(DH41="Bench",IF(DM41&gt;10,MROUND((DM41/100*BNMAX),2.5)," "),IF(DH41="Deadlift",IF(DM41&gt;10,MROUND((DM41/100*DLMAX),2.5)," ")," ")))</f>
        <v> </v>
      </c>
      <c r="DO41" s="26"/>
      <c r="DP41" s="66" t="str">
        <f>IFERROR((DN41/VLOOKUP(DO41,'RPE vs. %'!$D$3:$P$11,DL41+1,FALSE)),"")</f>
        <v/>
      </c>
      <c r="DQ41" s="67"/>
      <c r="DR41" s="27"/>
      <c r="DS41" s="27"/>
      <c r="DT41" s="94" t="s">
        <v>61</v>
      </c>
      <c r="ER41" s="94" t="s">
        <v>61</v>
      </c>
    </row>
    <row r="42">
      <c r="A42" s="27"/>
      <c r="C42" s="96"/>
      <c r="D42" s="129" t="str">
        <f t="shared" ref="D42:H42" si="458">D33</f>
        <v>Renfo</v>
      </c>
      <c r="E42" s="130" t="str">
        <f t="shared" si="458"/>
        <v/>
      </c>
      <c r="F42" s="131" t="str">
        <f t="shared" si="458"/>
        <v>développer militaire </v>
      </c>
      <c r="G42" s="81">
        <f t="shared" si="458"/>
        <v>2</v>
      </c>
      <c r="H42" s="132">
        <f t="shared" si="458"/>
        <v>8</v>
      </c>
      <c r="I42" s="1" t="str">
        <f t="shared" si="459"/>
        <v/>
      </c>
      <c r="J42" s="34" t="str">
        <f>IF(D42="Squat",IF(I42&gt;10,MROUND((I42/100*SQMAX),2.5)," "),IF(D42="Bench",IF(I42&gt;10,MROUND((I42/100*BNMAX),2.5)," "),IF(D42="Deadlift",IF(I42&gt;10,MROUND((I42/100*DLMAX),2.5)," ")," ")))</f>
        <v> </v>
      </c>
      <c r="K42" s="27"/>
      <c r="L42" s="66" t="str">
        <f>IFERROR((J42/VLOOKUP(K42,'RPE vs. %'!$D$3:$P$11,H42+1,FALSE)),"")</f>
        <v/>
      </c>
      <c r="M42" s="67"/>
      <c r="N42" s="27"/>
      <c r="O42" s="104" t="s">
        <v>11</v>
      </c>
      <c r="Q42" s="105" t="s">
        <v>12</v>
      </c>
      <c r="S42" s="106" t="s">
        <v>13</v>
      </c>
      <c r="U42" s="33" t="s">
        <v>14</v>
      </c>
      <c r="W42" s="56" t="s">
        <v>15</v>
      </c>
      <c r="Y42" s="35" t="s">
        <v>16</v>
      </c>
      <c r="AA42" s="56" t="s">
        <v>17</v>
      </c>
      <c r="AC42" s="56" t="s">
        <v>18</v>
      </c>
      <c r="AE42" s="56" t="s">
        <v>19</v>
      </c>
      <c r="AG42" s="56" t="s">
        <v>20</v>
      </c>
      <c r="AI42" s="56" t="s">
        <v>21</v>
      </c>
      <c r="AK42" s="56" t="s">
        <v>22</v>
      </c>
      <c r="AM42" s="27"/>
      <c r="AN42" s="129" t="str">
        <f t="shared" ref="AN42:AR42" si="460">AN33</f>
        <v>Renfo</v>
      </c>
      <c r="AO42" s="130" t="str">
        <f t="shared" si="460"/>
        <v/>
      </c>
      <c r="AP42" s="131" t="str">
        <f t="shared" si="460"/>
        <v>Back extension</v>
      </c>
      <c r="AQ42" s="81">
        <f t="shared" si="460"/>
        <v>5</v>
      </c>
      <c r="AR42" s="132">
        <f t="shared" si="460"/>
        <v>12</v>
      </c>
      <c r="AS42" s="117" t="str">
        <f t="shared" si="461"/>
        <v/>
      </c>
      <c r="AT42" s="34" t="str">
        <f>IF(AN42="Squat",IF(AS42&gt;10,MROUND((AS42/100*SQMAX),2.5)," "),IF(AN42="Bench",IF(AS42&gt;10,MROUND((AS42/100*BNMAX),2.5)," "),IF(AN42="Deadlift",IF(AS42&gt;10,MROUND((AS42/100*DLMAX),2.5)," ")," ")))</f>
        <v> </v>
      </c>
      <c r="AU42" s="27"/>
      <c r="AV42" s="66" t="str">
        <f>IFERROR((AT42/VLOOKUP(AU42,'RPE vs. %'!$D$3:$P$11,AR42+1,FALSE)),"")</f>
        <v/>
      </c>
      <c r="AW42" s="67"/>
      <c r="AX42" s="27"/>
      <c r="AY42" s="104" t="s">
        <v>11</v>
      </c>
      <c r="BA42" s="105" t="s">
        <v>12</v>
      </c>
      <c r="BC42" s="106" t="s">
        <v>13</v>
      </c>
      <c r="BE42" s="33" t="s">
        <v>14</v>
      </c>
      <c r="BG42" s="56" t="s">
        <v>15</v>
      </c>
      <c r="BI42" s="35" t="s">
        <v>16</v>
      </c>
      <c r="BK42" s="56" t="s">
        <v>17</v>
      </c>
      <c r="BM42" s="56" t="s">
        <v>18</v>
      </c>
      <c r="BO42" s="56" t="s">
        <v>19</v>
      </c>
      <c r="BQ42" s="56" t="s">
        <v>20</v>
      </c>
      <c r="BS42" s="56" t="s">
        <v>21</v>
      </c>
      <c r="BU42" s="56" t="s">
        <v>22</v>
      </c>
      <c r="BW42" s="27"/>
      <c r="BX42" s="129" t="str">
        <f t="shared" ref="BX42:CB42" si="462">BX33</f>
        <v>Renfo</v>
      </c>
      <c r="BY42" s="130" t="str">
        <f t="shared" si="462"/>
        <v/>
      </c>
      <c r="BZ42" s="131" t="str">
        <f t="shared" si="462"/>
        <v>Incliné haltère</v>
      </c>
      <c r="CA42" s="81">
        <f t="shared" si="462"/>
        <v>3</v>
      </c>
      <c r="CB42" s="132">
        <f t="shared" si="462"/>
        <v>8</v>
      </c>
      <c r="CC42" s="117" t="str">
        <f t="shared" si="463"/>
        <v/>
      </c>
      <c r="CD42" s="34" t="str">
        <f>IF(BX42="Squat",IF(CC42&gt;10,MROUND((CC42/100*SQMAX),2.5)," "),IF(BX42="Bench",IF(CC42&gt;10,MROUND((CC42/100*BNMAX),2.5)," "),IF(BX42="Deadlift",IF(CC42&gt;10,MROUND((CC42/100*DLMAX),2.5)," ")," ")))</f>
        <v> </v>
      </c>
      <c r="CE42" s="27"/>
      <c r="CF42" s="66" t="str">
        <f>IFERROR((CD42/VLOOKUP(CE42,'RPE vs. %'!$D$3:$P$11,CB42+1,FALSE)),"")</f>
        <v/>
      </c>
      <c r="CG42" s="67"/>
      <c r="CH42" s="27"/>
      <c r="CI42" s="104" t="s">
        <v>11</v>
      </c>
      <c r="CK42" s="105" t="s">
        <v>12</v>
      </c>
      <c r="CM42" s="106" t="s">
        <v>13</v>
      </c>
      <c r="CO42" s="33" t="s">
        <v>14</v>
      </c>
      <c r="CQ42" s="56" t="s">
        <v>15</v>
      </c>
      <c r="CS42" s="35" t="s">
        <v>16</v>
      </c>
      <c r="CU42" s="56" t="s">
        <v>17</v>
      </c>
      <c r="CW42" s="56" t="s">
        <v>18</v>
      </c>
      <c r="CY42" s="56" t="s">
        <v>19</v>
      </c>
      <c r="DA42" s="56" t="s">
        <v>20</v>
      </c>
      <c r="DC42" s="56" t="s">
        <v>21</v>
      </c>
      <c r="DE42" s="56" t="s">
        <v>22</v>
      </c>
      <c r="DG42" s="27"/>
      <c r="DH42" s="129" t="str">
        <f t="shared" ref="DH42:DL42" si="464">DH33</f>
        <v>Renfo</v>
      </c>
      <c r="DI42" s="130" t="str">
        <f t="shared" si="464"/>
        <v/>
      </c>
      <c r="DJ42" s="131" t="str">
        <f t="shared" si="464"/>
        <v>Back extension (coté)</v>
      </c>
      <c r="DK42" s="81">
        <f t="shared" si="464"/>
        <v>3</v>
      </c>
      <c r="DL42" s="132">
        <f t="shared" si="464"/>
        <v>12</v>
      </c>
      <c r="DM42" s="119" t="str">
        <f t="shared" si="465"/>
        <v/>
      </c>
      <c r="DN42" s="34" t="str">
        <f>IF(DH42="Squat",IF(DM42&gt;10,MROUND((DM42/100*SQMAX),2.5)," "),IF(DH42="Bench",IF(DM42&gt;10,MROUND((DM42/100*BNMAX),2.5)," "),IF(DH42="Deadlift",IF(DM42&gt;10,MROUND((DM42/100*DLMAX),2.5)," ")," ")))</f>
        <v> </v>
      </c>
      <c r="DO42" s="27"/>
      <c r="DP42" s="66" t="str">
        <f>IFERROR((DN42/VLOOKUP(DO42,'RPE vs. %'!$D$3:$P$11,DL42+1,FALSE)),"")</f>
        <v/>
      </c>
      <c r="DQ42" s="67"/>
      <c r="DR42" s="27"/>
      <c r="DS42" s="27"/>
      <c r="DT42" s="104" t="s">
        <v>11</v>
      </c>
      <c r="DV42" s="105" t="s">
        <v>12</v>
      </c>
      <c r="DX42" s="106" t="s">
        <v>13</v>
      </c>
      <c r="DZ42" s="33" t="s">
        <v>14</v>
      </c>
      <c r="EB42" s="56" t="s">
        <v>15</v>
      </c>
      <c r="ED42" s="35" t="s">
        <v>16</v>
      </c>
      <c r="EF42" s="56" t="s">
        <v>17</v>
      </c>
      <c r="EH42" s="56" t="s">
        <v>18</v>
      </c>
      <c r="EJ42" s="56" t="s">
        <v>19</v>
      </c>
      <c r="EL42" s="56" t="s">
        <v>20</v>
      </c>
      <c r="EN42" s="56" t="s">
        <v>21</v>
      </c>
      <c r="EP42" s="56" t="s">
        <v>22</v>
      </c>
      <c r="ER42" s="104" t="s">
        <v>11</v>
      </c>
      <c r="ET42" s="105" t="s">
        <v>12</v>
      </c>
      <c r="EV42" s="106" t="s">
        <v>13</v>
      </c>
      <c r="EX42" s="33" t="s">
        <v>14</v>
      </c>
      <c r="EZ42" s="56" t="s">
        <v>15</v>
      </c>
      <c r="FB42" s="35" t="s">
        <v>16</v>
      </c>
      <c r="FD42" s="56" t="s">
        <v>17</v>
      </c>
      <c r="FF42" s="56" t="s">
        <v>18</v>
      </c>
      <c r="FH42" s="56" t="s">
        <v>19</v>
      </c>
      <c r="FJ42" s="56" t="s">
        <v>20</v>
      </c>
      <c r="FL42" s="56" t="s">
        <v>21</v>
      </c>
      <c r="FN42" s="56" t="s">
        <v>22</v>
      </c>
    </row>
    <row r="43">
      <c r="A43" s="27"/>
      <c r="C43" s="96"/>
      <c r="D43" s="79" t="str">
        <f t="shared" ref="D43:H43" si="466">D34</f>
        <v>Renfo</v>
      </c>
      <c r="E43" s="79" t="str">
        <f t="shared" si="466"/>
        <v/>
      </c>
      <c r="F43" s="79" t="str">
        <f t="shared" si="466"/>
        <v>élévation lateral</v>
      </c>
      <c r="G43" s="18">
        <f t="shared" si="466"/>
        <v>3</v>
      </c>
      <c r="H43" s="79">
        <f t="shared" si="466"/>
        <v>12</v>
      </c>
      <c r="I43" s="1" t="str">
        <f t="shared" si="459"/>
        <v/>
      </c>
      <c r="J43" s="34" t="str">
        <f>IF(D43="Squat",IF(I43&gt;10,MROUND((I43/100*SQMAX),2.5)," "),IF(D43="Bench",IF(I43&gt;10,MROUND((I43/100*BNMAX),2.5)," "),IF(D43="Deadlift",IF(I43&gt;10,MROUND((I43/100*DLMAX),2.5)," ")," ")))</f>
        <v> </v>
      </c>
      <c r="K43" s="26"/>
      <c r="L43" s="66" t="str">
        <f>IFERROR((J43/VLOOKUP(K43,'RPE vs. %'!$D$3:$P$11,H43+1,FALSE)),"")</f>
        <v/>
      </c>
      <c r="M43" s="67"/>
      <c r="N43" s="27"/>
      <c r="O43" s="127" t="s">
        <v>33</v>
      </c>
      <c r="P43" s="127" t="s">
        <v>34</v>
      </c>
      <c r="Q43" s="127" t="s">
        <v>33</v>
      </c>
      <c r="R43" s="127" t="s">
        <v>34</v>
      </c>
      <c r="S43" s="127" t="s">
        <v>33</v>
      </c>
      <c r="T43" s="127" t="s">
        <v>34</v>
      </c>
      <c r="U43" s="127" t="s">
        <v>33</v>
      </c>
      <c r="V43" s="127" t="s">
        <v>34</v>
      </c>
      <c r="W43" s="127" t="s">
        <v>33</v>
      </c>
      <c r="X43" s="127" t="s">
        <v>34</v>
      </c>
      <c r="Y43" s="127" t="s">
        <v>33</v>
      </c>
      <c r="Z43" s="127" t="s">
        <v>34</v>
      </c>
      <c r="AA43" s="127" t="s">
        <v>33</v>
      </c>
      <c r="AB43" s="127" t="s">
        <v>34</v>
      </c>
      <c r="AC43" s="127" t="s">
        <v>33</v>
      </c>
      <c r="AD43" s="127" t="s">
        <v>34</v>
      </c>
      <c r="AE43" s="127" t="s">
        <v>33</v>
      </c>
      <c r="AF43" s="127" t="s">
        <v>34</v>
      </c>
      <c r="AG43" s="127" t="s">
        <v>33</v>
      </c>
      <c r="AH43" s="127" t="s">
        <v>34</v>
      </c>
      <c r="AI43" s="127" t="s">
        <v>33</v>
      </c>
      <c r="AJ43" s="127" t="s">
        <v>34</v>
      </c>
      <c r="AK43" s="127" t="s">
        <v>33</v>
      </c>
      <c r="AL43" s="127" t="s">
        <v>34</v>
      </c>
      <c r="AM43" s="27"/>
      <c r="AN43" s="78" t="str">
        <f t="shared" ref="AN43:AR43" si="467">AN34</f>
        <v>Renfo</v>
      </c>
      <c r="AO43" s="79" t="str">
        <f t="shared" si="467"/>
        <v/>
      </c>
      <c r="AP43" s="80" t="str">
        <f t="shared" si="467"/>
        <v>Traction</v>
      </c>
      <c r="AQ43" s="81">
        <f t="shared" si="467"/>
        <v>3</v>
      </c>
      <c r="AR43" s="85">
        <f t="shared" si="467"/>
        <v>12</v>
      </c>
      <c r="AS43" s="117" t="str">
        <f t="shared" si="461"/>
        <v/>
      </c>
      <c r="AT43" s="34" t="str">
        <f>IF(AN43="Squat",IF(AS43&gt;10,MROUND((AS43/100*SQMAX),2.5)," "),IF(AN43="Bench",IF(AS43&gt;10,MROUND((AS43/100*BNMAX),2.5)," "),IF(AN43="Deadlift",IF(AS43&gt;10,MROUND((AS43/100*DLMAX),2.5)," ")," ")))</f>
        <v> </v>
      </c>
      <c r="AU43" s="26"/>
      <c r="AV43" s="66" t="str">
        <f>IFERROR((AT43/VLOOKUP(AU43,'RPE vs. %'!$D$3:$P$11,AR43+1,FALSE)),"")</f>
        <v/>
      </c>
      <c r="AW43" s="67"/>
      <c r="AX43" s="27"/>
      <c r="AY43" s="127" t="s">
        <v>33</v>
      </c>
      <c r="AZ43" s="127" t="s">
        <v>34</v>
      </c>
      <c r="BA43" s="127" t="s">
        <v>33</v>
      </c>
      <c r="BB43" s="127" t="s">
        <v>34</v>
      </c>
      <c r="BC43" s="127" t="s">
        <v>33</v>
      </c>
      <c r="BD43" s="127" t="s">
        <v>34</v>
      </c>
      <c r="BE43" s="127" t="s">
        <v>33</v>
      </c>
      <c r="BF43" s="127" t="s">
        <v>34</v>
      </c>
      <c r="BG43" s="127" t="s">
        <v>33</v>
      </c>
      <c r="BH43" s="127" t="s">
        <v>34</v>
      </c>
      <c r="BI43" s="127" t="s">
        <v>33</v>
      </c>
      <c r="BJ43" s="127" t="s">
        <v>34</v>
      </c>
      <c r="BK43" s="127" t="s">
        <v>33</v>
      </c>
      <c r="BL43" s="127" t="s">
        <v>34</v>
      </c>
      <c r="BM43" s="127" t="s">
        <v>33</v>
      </c>
      <c r="BN43" s="127" t="s">
        <v>34</v>
      </c>
      <c r="BO43" s="127" t="s">
        <v>33</v>
      </c>
      <c r="BP43" s="127" t="s">
        <v>34</v>
      </c>
      <c r="BQ43" s="127" t="s">
        <v>33</v>
      </c>
      <c r="BR43" s="127" t="s">
        <v>34</v>
      </c>
      <c r="BS43" s="127" t="s">
        <v>33</v>
      </c>
      <c r="BT43" s="127" t="s">
        <v>34</v>
      </c>
      <c r="BU43" s="127" t="s">
        <v>33</v>
      </c>
      <c r="BV43" s="127" t="s">
        <v>34</v>
      </c>
      <c r="BW43" s="27"/>
      <c r="BX43" s="78" t="str">
        <f t="shared" ref="BX43:CB43" si="468">BX34</f>
        <v>Renfo</v>
      </c>
      <c r="BY43" s="79" t="str">
        <f t="shared" si="468"/>
        <v/>
      </c>
      <c r="BZ43" s="80" t="str">
        <f t="shared" si="468"/>
        <v>Extension triceps</v>
      </c>
      <c r="CA43" s="81">
        <f t="shared" si="468"/>
        <v>3</v>
      </c>
      <c r="CB43" s="85">
        <f t="shared" si="468"/>
        <v>15</v>
      </c>
      <c r="CC43" s="117" t="str">
        <f t="shared" si="463"/>
        <v/>
      </c>
      <c r="CD43" s="34" t="str">
        <f>IF(BX43="Squat",IF(CC43&gt;10,MROUND((CC43/100*SQMAX),2.5)," "),IF(BX43="Bench",IF(CC43&gt;10,MROUND((CC43/100*BNMAX),2.5)," "),IF(BX43="Deadlift",IF(CC43&gt;10,MROUND((CC43/100*DLMAX),2.5)," ")," ")))</f>
        <v> </v>
      </c>
      <c r="CE43" s="26"/>
      <c r="CF43" s="66" t="str">
        <f>IFERROR((CD43/VLOOKUP(CE43,'RPE vs. %'!$D$3:$P$11,CB43+1,FALSE)),"")</f>
        <v/>
      </c>
      <c r="CG43" s="67"/>
      <c r="CH43" s="27"/>
      <c r="CI43" s="127" t="s">
        <v>33</v>
      </c>
      <c r="CJ43" s="127" t="s">
        <v>34</v>
      </c>
      <c r="CK43" s="127" t="s">
        <v>33</v>
      </c>
      <c r="CL43" s="127" t="s">
        <v>34</v>
      </c>
      <c r="CM43" s="127" t="s">
        <v>33</v>
      </c>
      <c r="CN43" s="127" t="s">
        <v>34</v>
      </c>
      <c r="CO43" s="127" t="s">
        <v>33</v>
      </c>
      <c r="CP43" s="127" t="s">
        <v>34</v>
      </c>
      <c r="CQ43" s="127" t="s">
        <v>33</v>
      </c>
      <c r="CR43" s="127" t="s">
        <v>34</v>
      </c>
      <c r="CS43" s="127" t="s">
        <v>33</v>
      </c>
      <c r="CT43" s="127" t="s">
        <v>34</v>
      </c>
      <c r="CU43" s="127" t="s">
        <v>33</v>
      </c>
      <c r="CV43" s="127" t="s">
        <v>34</v>
      </c>
      <c r="CW43" s="127" t="s">
        <v>33</v>
      </c>
      <c r="CX43" s="127" t="s">
        <v>34</v>
      </c>
      <c r="CY43" s="127" t="s">
        <v>33</v>
      </c>
      <c r="CZ43" s="127" t="s">
        <v>34</v>
      </c>
      <c r="DA43" s="127" t="s">
        <v>33</v>
      </c>
      <c r="DB43" s="127" t="s">
        <v>34</v>
      </c>
      <c r="DC43" s="127" t="s">
        <v>33</v>
      </c>
      <c r="DD43" s="127" t="s">
        <v>34</v>
      </c>
      <c r="DE43" s="127" t="s">
        <v>33</v>
      </c>
      <c r="DF43" s="127" t="s">
        <v>34</v>
      </c>
      <c r="DG43" s="27"/>
      <c r="DH43" s="79" t="str">
        <f t="shared" ref="DH43:DL43" si="469">DH34</f>
        <v/>
      </c>
      <c r="DI43" s="79" t="str">
        <f t="shared" si="469"/>
        <v/>
      </c>
      <c r="DJ43" s="79" t="str">
        <f t="shared" si="469"/>
        <v/>
      </c>
      <c r="DK43" s="18" t="str">
        <f t="shared" si="469"/>
        <v/>
      </c>
      <c r="DL43" s="79" t="str">
        <f t="shared" si="469"/>
        <v/>
      </c>
      <c r="DM43" s="119" t="str">
        <f t="shared" si="465"/>
        <v/>
      </c>
      <c r="DN43" s="34" t="str">
        <f>IF(DH43="Squat",IF(DM43&gt;10,MROUND((DM43/100*SQMAX),2.5)," "),IF(DH43="Bench",IF(DM43&gt;10,MROUND((DM43/100*BNMAX),2.5)," "),IF(DH43="Deadlift",IF(DM43&gt;10,MROUND((DM43/100*DLMAX),2.5)," ")," ")))</f>
        <v> </v>
      </c>
      <c r="DO43" s="26"/>
      <c r="DP43" s="66" t="str">
        <f>IFERROR((DN43/VLOOKUP(DO43,'RPE vs. %'!$D$3:$P$11,DL43+1,FALSE)),"")</f>
        <v/>
      </c>
      <c r="DQ43" s="67"/>
      <c r="DR43" s="27"/>
      <c r="DS43" s="27"/>
      <c r="DT43" s="127" t="s">
        <v>33</v>
      </c>
      <c r="DU43" s="127" t="s">
        <v>34</v>
      </c>
      <c r="DV43" s="127" t="s">
        <v>33</v>
      </c>
      <c r="DW43" s="127" t="s">
        <v>34</v>
      </c>
      <c r="DX43" s="127" t="s">
        <v>33</v>
      </c>
      <c r="DY43" s="127" t="s">
        <v>34</v>
      </c>
      <c r="DZ43" s="127" t="s">
        <v>33</v>
      </c>
      <c r="EA43" s="127" t="s">
        <v>34</v>
      </c>
      <c r="EB43" s="127" t="s">
        <v>33</v>
      </c>
      <c r="EC43" s="127" t="s">
        <v>34</v>
      </c>
      <c r="ED43" s="127" t="s">
        <v>33</v>
      </c>
      <c r="EE43" s="127" t="s">
        <v>34</v>
      </c>
      <c r="EF43" s="127" t="s">
        <v>33</v>
      </c>
      <c r="EG43" s="127" t="s">
        <v>34</v>
      </c>
      <c r="EH43" s="127" t="s">
        <v>33</v>
      </c>
      <c r="EI43" s="127" t="s">
        <v>34</v>
      </c>
      <c r="EJ43" s="127" t="s">
        <v>33</v>
      </c>
      <c r="EK43" s="127" t="s">
        <v>34</v>
      </c>
      <c r="EL43" s="127" t="s">
        <v>33</v>
      </c>
      <c r="EM43" s="127" t="s">
        <v>34</v>
      </c>
      <c r="EN43" s="127" t="s">
        <v>33</v>
      </c>
      <c r="EO43" s="127" t="s">
        <v>34</v>
      </c>
      <c r="EP43" s="127" t="s">
        <v>33</v>
      </c>
      <c r="EQ43" s="127" t="s">
        <v>34</v>
      </c>
      <c r="ER43" s="127" t="s">
        <v>33</v>
      </c>
      <c r="ES43" s="127" t="s">
        <v>34</v>
      </c>
      <c r="ET43" s="127" t="s">
        <v>33</v>
      </c>
      <c r="EU43" s="127" t="s">
        <v>34</v>
      </c>
      <c r="EV43" s="127" t="s">
        <v>33</v>
      </c>
      <c r="EW43" s="127" t="s">
        <v>34</v>
      </c>
      <c r="EX43" s="127" t="s">
        <v>33</v>
      </c>
      <c r="EY43" s="127" t="s">
        <v>34</v>
      </c>
      <c r="EZ43" s="127" t="s">
        <v>33</v>
      </c>
      <c r="FA43" s="127" t="s">
        <v>34</v>
      </c>
      <c r="FB43" s="127" t="s">
        <v>33</v>
      </c>
      <c r="FC43" s="127" t="s">
        <v>34</v>
      </c>
      <c r="FD43" s="127" t="s">
        <v>33</v>
      </c>
      <c r="FE43" s="127" t="s">
        <v>34</v>
      </c>
      <c r="FF43" s="127" t="s">
        <v>33</v>
      </c>
      <c r="FG43" s="127" t="s">
        <v>34</v>
      </c>
      <c r="FH43" s="127" t="s">
        <v>33</v>
      </c>
      <c r="FI43" s="127" t="s">
        <v>34</v>
      </c>
      <c r="FJ43" s="127" t="s">
        <v>33</v>
      </c>
      <c r="FK43" s="127" t="s">
        <v>34</v>
      </c>
      <c r="FL43" s="127" t="s">
        <v>33</v>
      </c>
      <c r="FM43" s="127" t="s">
        <v>34</v>
      </c>
      <c r="FN43" s="127" t="s">
        <v>33</v>
      </c>
      <c r="FO43" s="127" t="s">
        <v>34</v>
      </c>
    </row>
    <row r="44">
      <c r="A44" s="27"/>
      <c r="C44" s="46"/>
      <c r="D44" s="79" t="str">
        <f t="shared" ref="D44:H44" si="470">D35</f>
        <v/>
      </c>
      <c r="E44" s="79" t="str">
        <f t="shared" si="470"/>
        <v/>
      </c>
      <c r="F44" s="79" t="str">
        <f t="shared" si="470"/>
        <v/>
      </c>
      <c r="G44" s="18" t="str">
        <f t="shared" si="470"/>
        <v/>
      </c>
      <c r="H44" s="79" t="str">
        <f t="shared" si="470"/>
        <v/>
      </c>
      <c r="I44" s="1" t="str">
        <f t="shared" si="459"/>
        <v/>
      </c>
      <c r="J44" s="34" t="str">
        <f>IF(D44="Squat",IF(I44&gt;10,MROUND((I44/100*SQMAX),2.5)," "),IF(D44="Bench",IF(I44&gt;10,MROUND((I44/100*BNMAX),2.5)," "),IF(D44="Deadlift",IF(I44&gt;10,MROUND((I44/100*DLMAX),2.5)," ")," ")))</f>
        <v> </v>
      </c>
      <c r="K44" s="26"/>
      <c r="L44" s="88" t="str">
        <f>IFERROR((J44/VLOOKUP(K44,'RPE vs. %'!$D$3:$P$11,H44+1,FALSE)),"")</f>
        <v/>
      </c>
      <c r="M44" s="89"/>
      <c r="N44" s="27"/>
      <c r="O44" s="56">
        <f t="shared" ref="O44:O45" si="474">IF(D38="Squat",G38,"")</f>
        <v>2</v>
      </c>
      <c r="P44" s="56">
        <f t="shared" ref="P44:P45" si="475">IF(D38="Squat",G38*H38*J38,"")</f>
        <v>1525</v>
      </c>
      <c r="Q44" s="57" t="str">
        <f t="shared" ref="Q44:Q45" si="476">IF(D38="Bench",G38,"")</f>
        <v/>
      </c>
      <c r="R44" s="57" t="str">
        <f t="shared" ref="R44:R45" si="477">IF(D38="Bench",G38*H38*J38,"")</f>
        <v/>
      </c>
      <c r="S44" s="57" t="str">
        <f t="shared" ref="S44:S45" si="478">IF(D38="Deadlift",G38,"")</f>
        <v/>
      </c>
      <c r="T44" s="57" t="str">
        <f t="shared" ref="T44:T45" si="479">IF(D38="Deadlift",G38*H38*J38,"")</f>
        <v/>
      </c>
      <c r="U44" s="57" t="str">
        <f t="shared" ref="U44:U45" si="480">IF(E38="pecs",G38,"")</f>
        <v/>
      </c>
      <c r="V44" s="57" t="str">
        <f t="shared" ref="V44:V45" si="481">IF(E38="pecs",G38*H38*J38,"")</f>
        <v/>
      </c>
      <c r="W44" s="57" t="str">
        <f t="shared" ref="W44:W45" si="482">IF(E38="dos",G38,"")</f>
        <v/>
      </c>
      <c r="X44" s="57" t="str">
        <f t="shared" ref="X44:X45" si="483">IF(E38="dos",G38*H38*J38,"")</f>
        <v/>
      </c>
      <c r="Y44" s="57" t="str">
        <f t="shared" ref="Y44:Y45" si="484">IF(E38="épaules",G38,"")</f>
        <v/>
      </c>
      <c r="Z44" s="57" t="str">
        <f t="shared" ref="Z44:Z45" si="485">IF(E38="épaules",G38*H38*J38,"")</f>
        <v/>
      </c>
      <c r="AA44" s="57" t="str">
        <f t="shared" ref="AA44:AA45" si="486">IF(E38="biceps",G38,"")</f>
        <v/>
      </c>
      <c r="AB44" s="57" t="str">
        <f t="shared" ref="AB44:AB45" si="487">IF(E38="biceps",G38*H38*J38,"")</f>
        <v/>
      </c>
      <c r="AC44" s="57" t="str">
        <f t="shared" ref="AC44:AC45" si="488">IF(E38="triceps",G38,"")</f>
        <v/>
      </c>
      <c r="AD44" s="57" t="str">
        <f t="shared" ref="AD44:AD45" si="489">IF(E38="triceps",G38*H38*J38,"")</f>
        <v/>
      </c>
      <c r="AE44" s="57" t="str">
        <f t="shared" ref="AE44:AE45" si="490">IF(E38="quads",G38,"")</f>
        <v/>
      </c>
      <c r="AF44" s="57" t="str">
        <f t="shared" ref="AF44:AF45" si="491">IF(E38="quads",G38*H38*J38,"")</f>
        <v/>
      </c>
      <c r="AG44" s="57" t="str">
        <f t="shared" ref="AG44:AG45" si="492">IF(E38="ischios",G38,"")</f>
        <v/>
      </c>
      <c r="AH44" s="57" t="str">
        <f t="shared" ref="AH44:AH45" si="493">IF(E38="ischios",G38*H38*J38,"")</f>
        <v/>
      </c>
      <c r="AI44" s="57" t="str">
        <f t="shared" ref="AI44:AI45" si="494">IF(E38="fessier",G38,"")</f>
        <v/>
      </c>
      <c r="AJ44" s="57" t="str">
        <f t="shared" ref="AJ44:AJ45" si="495">IF(E38="fessier",G38*H38*J38,"")</f>
        <v/>
      </c>
      <c r="AK44" s="57" t="str">
        <f t="shared" ref="AK44:AK45" si="496">IF(E38="mollets",G38,"")</f>
        <v/>
      </c>
      <c r="AL44" s="57" t="str">
        <f t="shared" ref="AL44:AL45" si="497">IF(E38="mollets",G38*H38*J38,"")</f>
        <v/>
      </c>
      <c r="AM44" s="27"/>
      <c r="AN44" s="79" t="str">
        <f t="shared" ref="AN44:AR44" si="471">AN35</f>
        <v/>
      </c>
      <c r="AO44" s="79" t="str">
        <f t="shared" si="471"/>
        <v/>
      </c>
      <c r="AP44" s="79" t="str">
        <f t="shared" si="471"/>
        <v/>
      </c>
      <c r="AQ44" s="18" t="str">
        <f t="shared" si="471"/>
        <v/>
      </c>
      <c r="AR44" s="79" t="str">
        <f t="shared" si="471"/>
        <v/>
      </c>
      <c r="AS44" s="117" t="str">
        <f t="shared" si="461"/>
        <v/>
      </c>
      <c r="AT44" s="34" t="str">
        <f>IF(AN44="Squat",IF(AS44&gt;10,MROUND((AS44/100*SQMAX),2.5)," "),IF(AN44="Bench",IF(AS44&gt;10,MROUND((AS44/100*BNMAX),2.5)," "),IF(AN44="Deadlift",IF(AS44&gt;10,MROUND((AS44/100*DLMAX),2.5)," ")," ")))</f>
        <v> </v>
      </c>
      <c r="AU44" s="26"/>
      <c r="AV44" s="66" t="str">
        <f>IFERROR((AT44/VLOOKUP(AU44,'RPE vs. %'!$D$3:$P$11,AR44+1,FALSE)),"")</f>
        <v/>
      </c>
      <c r="AW44" s="89"/>
      <c r="AX44" s="27"/>
      <c r="AY44" s="57" t="str">
        <f t="shared" ref="AY44:AY45" si="498">IF(AN38="Squat",AQ38,"")</f>
        <v/>
      </c>
      <c r="AZ44" s="57" t="str">
        <f t="shared" ref="AZ44:AZ45" si="499">IF(AN38="Squat",AQ38*AR38*AT38,"")</f>
        <v/>
      </c>
      <c r="BA44" s="57" t="str">
        <f t="shared" ref="BA44:BA45" si="500">IF(AN38="Bench",AQ38,"")</f>
        <v/>
      </c>
      <c r="BB44" s="57" t="str">
        <f t="shared" ref="BB44:BB45" si="501">IF(AN38="Bench",AQ38*AR38*AT38,"")</f>
        <v/>
      </c>
      <c r="BC44" s="56">
        <f t="shared" ref="BC44:BC45" si="502">IF(AN38="Deadlift",AQ38,"")</f>
        <v>3</v>
      </c>
      <c r="BD44" s="56">
        <f t="shared" ref="BD44:BD45" si="503">IF(AN38="Deadlift",AQ38*AR38*AT38,"")</f>
        <v>2002.5</v>
      </c>
      <c r="BE44" s="57" t="str">
        <f t="shared" ref="BE44:BE45" si="504">IF(AO38="pecs",AQ38,"")</f>
        <v/>
      </c>
      <c r="BF44" s="57" t="str">
        <f t="shared" ref="BF44:BF45" si="505">IF(AO38="pecs",AQ38*AR38*AT38,"")</f>
        <v/>
      </c>
      <c r="BG44" s="57" t="str">
        <f t="shared" ref="BG44:BG45" si="506">IF(AO38="dos",AQ38,"")</f>
        <v/>
      </c>
      <c r="BH44" s="57" t="str">
        <f t="shared" ref="BH44:BH45" si="507">IF(AO38="dos",AQ38*AR38*AT38,"")</f>
        <v/>
      </c>
      <c r="BI44" s="57" t="str">
        <f t="shared" ref="BI44:BI45" si="508">IF(AO38="épaules",AQ38,"")</f>
        <v/>
      </c>
      <c r="BJ44" s="57" t="str">
        <f t="shared" ref="BJ44:BJ45" si="509">IF(AO38="épaules",AQ38*AR38*AT38,"")</f>
        <v/>
      </c>
      <c r="BK44" s="57" t="str">
        <f t="shared" ref="BK44:BK45" si="510">IF(AO38="biceps",AQ38,"")</f>
        <v/>
      </c>
      <c r="BL44" s="57" t="str">
        <f t="shared" ref="BL44:BL45" si="511">IF(AO38="biceps",AQ38*AR38*AT38,"")</f>
        <v/>
      </c>
      <c r="BM44" s="57" t="str">
        <f t="shared" ref="BM44:BM45" si="512">IF(AO38="triceps",AQ38,"")</f>
        <v/>
      </c>
      <c r="BN44" s="57" t="str">
        <f t="shared" ref="BN44:BN45" si="513">IF(AO38="triceps",AQ38*AR38*AT38,"")</f>
        <v/>
      </c>
      <c r="BO44" s="57" t="str">
        <f t="shared" ref="BO44:BO45" si="514">IF(AO38="quads",AQ38,"")</f>
        <v/>
      </c>
      <c r="BP44" s="57" t="str">
        <f t="shared" ref="BP44:BP45" si="515">IF(AO38="quads",AQ38*AR38*AT38,"")</f>
        <v/>
      </c>
      <c r="BQ44" s="57" t="str">
        <f t="shared" ref="BQ44:BQ45" si="516">IF(AO38="ischios",AQ38,"")</f>
        <v/>
      </c>
      <c r="BR44" s="57" t="str">
        <f t="shared" ref="BR44:BR45" si="517">IF(AO38="ischios",AQ38*AR38*AT38,"")</f>
        <v/>
      </c>
      <c r="BS44" s="57" t="str">
        <f t="shared" ref="BS44:BS45" si="518">IF(AO38="fessier",AQ38,"")</f>
        <v/>
      </c>
      <c r="BT44" s="57" t="str">
        <f t="shared" ref="BT44:BT45" si="519">IF(AO38="fessier",AQ38*AR38*AT38,"")</f>
        <v/>
      </c>
      <c r="BU44" s="57" t="str">
        <f t="shared" ref="BU44:BU45" si="520">IF(AO38="mollets",AQ38,"")</f>
        <v/>
      </c>
      <c r="BV44" s="57" t="str">
        <f t="shared" ref="BV44:BV45" si="521">IF(AO38="mollets",AQ38*AR38*AT38,"")</f>
        <v/>
      </c>
      <c r="BW44" s="27"/>
      <c r="BX44" s="79" t="str">
        <f t="shared" ref="BX44:CB44" si="472">BX35</f>
        <v/>
      </c>
      <c r="BY44" s="79" t="str">
        <f t="shared" si="472"/>
        <v/>
      </c>
      <c r="BZ44" s="79" t="str">
        <f t="shared" si="472"/>
        <v/>
      </c>
      <c r="CA44" s="18" t="str">
        <f t="shared" si="472"/>
        <v/>
      </c>
      <c r="CB44" s="79" t="str">
        <f t="shared" si="472"/>
        <v/>
      </c>
      <c r="CC44" s="117" t="str">
        <f t="shared" si="463"/>
        <v/>
      </c>
      <c r="CD44" s="34" t="str">
        <f>IF(BX44="Squat",IF(CC44&gt;10,MROUND((CC44/100*SQMAX),2.5)," "),IF(BX44="Bench",IF(CC44&gt;10,MROUND((CC44/100*BNMAX),2.5)," "),IF(BX44="Deadlift",IF(CC44&gt;10,MROUND((CC44/100*DLMAX),2.5)," ")," ")))</f>
        <v> </v>
      </c>
      <c r="CE44" s="26"/>
      <c r="CF44" s="88" t="str">
        <f>IFERROR((CD44/VLOOKUP(CE44,'RPE vs. %'!$D$3:$P$11,CB44+1,FALSE)),"")</f>
        <v/>
      </c>
      <c r="CG44" s="89"/>
      <c r="CH44" s="27"/>
      <c r="CI44" s="56">
        <f t="shared" ref="CI44:CI45" si="523">IF(BX38="Squat",CA38,"")</f>
        <v>3</v>
      </c>
      <c r="CJ44" s="56">
        <f t="shared" ref="CJ44:CJ45" si="524">IF(BX38="Squat",CA38*CB38*CD38,"")</f>
        <v>2287.5</v>
      </c>
      <c r="CK44" s="57" t="str">
        <f t="shared" ref="CK44:CK45" si="525">IF(BX38="Bench",CA38,"")</f>
        <v/>
      </c>
      <c r="CL44" s="57" t="str">
        <f t="shared" ref="CL44:CL45" si="526">IF(BX38="Bench",CA38*CB38*CD38,"")</f>
        <v/>
      </c>
      <c r="CM44" s="57" t="str">
        <f t="shared" ref="CM44:CM45" si="527">IF(BX38="Deadlift",CA38,"")</f>
        <v/>
      </c>
      <c r="CN44" s="57" t="str">
        <f t="shared" ref="CN44:CN45" si="528">IF(BX38="Deadlift",CA38*CB38*CD38,"")</f>
        <v/>
      </c>
      <c r="CO44" s="57" t="str">
        <f t="shared" ref="CO44:CO45" si="529">IF(BY38="pecs",CA38,"")</f>
        <v/>
      </c>
      <c r="CP44" s="57" t="str">
        <f t="shared" ref="CP44:CP45" si="530">IF(BY38="pecs",CA38*CB38*CD38,"")</f>
        <v/>
      </c>
      <c r="CQ44" s="57" t="str">
        <f t="shared" ref="CQ44:CQ45" si="531">IF(BY38="dos",CA38,"")</f>
        <v/>
      </c>
      <c r="CR44" s="57" t="str">
        <f t="shared" ref="CR44:CR45" si="532">IF(BY38="dos",CA38*CB38*CD38,"")</f>
        <v/>
      </c>
      <c r="CS44" s="57" t="str">
        <f t="shared" ref="CS44:CS45" si="533">IF(BY38="épaules",CA38,"")</f>
        <v/>
      </c>
      <c r="CT44" s="57" t="str">
        <f t="shared" ref="CT44:CT45" si="534">IF(BY38="épaules",CA38*CB38*CD38,"")</f>
        <v/>
      </c>
      <c r="CU44" s="57" t="str">
        <f t="shared" ref="CU44:CU45" si="535">IF(BY38="biceps",CA38,"")</f>
        <v/>
      </c>
      <c r="CV44" s="57" t="str">
        <f t="shared" ref="CV44:CV45" si="536">IF(BY38="biceps",CA38*CB38*CD38,"")</f>
        <v/>
      </c>
      <c r="CW44" s="57" t="str">
        <f t="shared" ref="CW44:CW45" si="537">IF(BY38="triceps",CA38,"")</f>
        <v/>
      </c>
      <c r="CX44" s="57" t="str">
        <f t="shared" ref="CX44:CX45" si="538">IF(BY38="triceps",CA38*CB38*CD38,"")</f>
        <v/>
      </c>
      <c r="CY44" s="57" t="str">
        <f t="shared" ref="CY44:CY45" si="539">IF(BY38="quads",CA38,"")</f>
        <v/>
      </c>
      <c r="CZ44" s="57" t="str">
        <f t="shared" ref="CZ44:CZ45" si="540">IF(BY38="quads",CA38*CB38*CD38,"")</f>
        <v/>
      </c>
      <c r="DA44" s="57" t="str">
        <f t="shared" ref="DA44:DA45" si="541">IF(BY38="ischios",CA38,"")</f>
        <v/>
      </c>
      <c r="DB44" s="57" t="str">
        <f t="shared" ref="DB44:DB45" si="542">IF(BY38="ischios",CA38*CB38*CD38,"")</f>
        <v/>
      </c>
      <c r="DC44" s="57" t="str">
        <f t="shared" ref="DC44:DC45" si="543">IF(BY38="fessier",CA38,"")</f>
        <v/>
      </c>
      <c r="DD44" s="57" t="str">
        <f t="shared" ref="DD44:DD45" si="544">IF(BY38="fessier",CA38*CB38*CD38,"")</f>
        <v/>
      </c>
      <c r="DE44" s="57" t="str">
        <f t="shared" ref="DE44:DE45" si="545">IF(BY38="mollets",CA38,"")</f>
        <v/>
      </c>
      <c r="DF44" s="57" t="str">
        <f t="shared" ref="DF44:DF45" si="546">IF(BY38="mollets",CA38*CB38*CD38,"")</f>
        <v/>
      </c>
      <c r="DG44" s="27"/>
      <c r="DH44" s="79" t="str">
        <f t="shared" ref="DH44:DL44" si="473">DH35</f>
        <v/>
      </c>
      <c r="DI44" s="79" t="str">
        <f t="shared" si="473"/>
        <v/>
      </c>
      <c r="DJ44" s="79" t="str">
        <f t="shared" si="473"/>
        <v/>
      </c>
      <c r="DK44" s="18" t="str">
        <f t="shared" si="473"/>
        <v/>
      </c>
      <c r="DL44" s="79" t="str">
        <f t="shared" si="473"/>
        <v/>
      </c>
      <c r="DM44" s="119" t="str">
        <f t="shared" si="465"/>
        <v/>
      </c>
      <c r="DN44" s="34" t="str">
        <f>IF(DH44="Squat",IF(DM44&gt;10,MROUND((DM44/100*SQMAX),2.5)," "),IF(DH44="Bench",IF(DM44&gt;10,MROUND((DM44/100*BNMAX),2.5)," "),IF(DH44="Deadlift",IF(DM44&gt;10,MROUND((DM44/100*DLMAX),2.5)," ")," ")))</f>
        <v> </v>
      </c>
      <c r="DO44" s="26"/>
      <c r="DP44" s="88" t="str">
        <f>IFERROR((DN44/VLOOKUP(DO44,'RPE vs. %'!$D$3:$P$11,DL44+1,FALSE)),"")</f>
        <v/>
      </c>
      <c r="DQ44" s="89"/>
      <c r="DR44" s="27"/>
      <c r="DS44" s="27"/>
      <c r="DT44" s="56">
        <f t="shared" ref="DT44:DT50" si="547">IF(DH38="Squat",DK38,"")</f>
        <v>3</v>
      </c>
      <c r="DU44" s="56">
        <f t="shared" ref="DU44:DU50" si="548">IF(DH38="Squat",DK38*DL38*DN38,"")</f>
        <v>1642.5</v>
      </c>
      <c r="DV44" s="57" t="str">
        <f t="shared" ref="DV44:DV50" si="549">IF(DH38="Bench",DK38,"")</f>
        <v/>
      </c>
      <c r="DW44" s="57" t="str">
        <f t="shared" ref="DW44:DW50" si="550">IF(DH38="Bench",DK38*DL38*DN38,"")</f>
        <v/>
      </c>
      <c r="DX44" s="57" t="str">
        <f t="shared" ref="DX44:DX50" si="551">IF(DH38="Deadlift",DK38,"")</f>
        <v/>
      </c>
      <c r="DY44" s="57" t="str">
        <f t="shared" ref="DY44:DY50" si="552">IF(DH38="Deadlift",DK38*DL38*DN38,"")</f>
        <v/>
      </c>
      <c r="DZ44" s="57" t="str">
        <f t="shared" ref="DZ44:DZ50" si="553">IF(DI38="pecs",DK38,"")</f>
        <v/>
      </c>
      <c r="EA44" s="57" t="str">
        <f t="shared" ref="EA44:EA50" si="554">IF(DI38="pecs",DK38*DL38*DN38,"")</f>
        <v/>
      </c>
      <c r="EB44" s="57" t="str">
        <f t="shared" ref="EB44:EB50" si="555">IF(DI38="dos",DK38,"")</f>
        <v/>
      </c>
      <c r="EC44" s="57" t="str">
        <f t="shared" ref="EC44:EC50" si="556">IF(DI38="dos",DK38*DL38*DN38,"")</f>
        <v/>
      </c>
      <c r="ED44" s="57" t="str">
        <f t="shared" ref="ED44:ED50" si="557">IF(DI38="épaules",DK38,"")</f>
        <v/>
      </c>
      <c r="EE44" s="57" t="str">
        <f t="shared" ref="EE44:EE50" si="558">IF(DI38="épaules",DK38*DL38*DN38,"")</f>
        <v/>
      </c>
      <c r="EF44" s="57" t="str">
        <f t="shared" ref="EF44:EF50" si="559">IF(DI38="biceps",DK38,"")</f>
        <v/>
      </c>
      <c r="EG44" s="57" t="str">
        <f t="shared" ref="EG44:EG50" si="560">IF(DI38="biceps",DK38*DL38*DN38,"")</f>
        <v/>
      </c>
      <c r="EH44" s="57" t="str">
        <f t="shared" ref="EH44:EH50" si="561">IF(DI38="triceps",DK38,"")</f>
        <v/>
      </c>
      <c r="EI44" s="57" t="str">
        <f t="shared" ref="EI44:EI50" si="562">IF(DI38="triceps",DK38*DL38*DN38,"")</f>
        <v/>
      </c>
      <c r="EJ44" s="57" t="str">
        <f t="shared" ref="EJ44:EJ50" si="563">IF(DI38="quads",DK38,"")</f>
        <v/>
      </c>
      <c r="EK44" s="57" t="str">
        <f t="shared" ref="EK44:EK50" si="564">IF(DI38="quads",DK38*DL38*DN38,"")</f>
        <v/>
      </c>
      <c r="EL44" s="57" t="str">
        <f t="shared" ref="EL44:EL50" si="565">IF(DI38="ischios",DK38,"")</f>
        <v/>
      </c>
      <c r="EM44" s="57" t="str">
        <f t="shared" ref="EM44:EM50" si="566">IF(DI38="ischios",DK38*DL38*DN38,"")</f>
        <v/>
      </c>
      <c r="EN44" s="57" t="str">
        <f t="shared" ref="EN44:EN50" si="567">IF(DI38="fessier",DK38,"")</f>
        <v/>
      </c>
      <c r="EO44" s="57" t="str">
        <f t="shared" ref="EO44:EO50" si="568">IF(DI38="fessier",DK38*DL38*DN38,"")</f>
        <v/>
      </c>
      <c r="EP44" s="57" t="str">
        <f t="shared" ref="EP44:EP50" si="569">IF(DI38="mollets",DK38,"")</f>
        <v/>
      </c>
      <c r="EQ44" s="57" t="str">
        <f t="shared" ref="EQ44:EQ50" si="570">IF(DI38="mollets",DK38*DL38*DN38,"")</f>
        <v/>
      </c>
      <c r="ER44" s="56" t="str">
        <f t="shared" ref="ER44:ER50" si="571">IF(#REF!="Squat",#REF!,"")</f>
        <v>#REF!</v>
      </c>
      <c r="ES44" s="56" t="str">
        <f t="shared" ref="ES44:ES50" si="572">IF(#REF!="Squat",#REF!*#REF!*#REF!,"")</f>
        <v>#REF!</v>
      </c>
      <c r="ET44" s="56" t="str">
        <f t="shared" ref="ET44:ET50" si="573">IF(#REF!="Bench",#REF!,"")</f>
        <v>#REF!</v>
      </c>
      <c r="EU44" s="56" t="str">
        <f t="shared" ref="EU44:EU50" si="574">IF(#REF!="Bench",#REF!*#REF!*#REF!,"")</f>
        <v>#REF!</v>
      </c>
      <c r="EV44" s="56" t="str">
        <f t="shared" ref="EV44:EV50" si="575">IF(#REF!="Deadlift",#REF!,"")</f>
        <v>#REF!</v>
      </c>
      <c r="EW44" s="56" t="str">
        <f t="shared" ref="EW44:EW50" si="576">IF(#REF!="Deadlift",#REF!*#REF!*#REF!,"")</f>
        <v>#REF!</v>
      </c>
      <c r="EX44" s="56" t="str">
        <f t="shared" ref="EX44:EX50" si="577">IF(#REF!="pecs",#REF!,"")</f>
        <v>#REF!</v>
      </c>
      <c r="EY44" s="56" t="str">
        <f t="shared" ref="EY44:EY50" si="578">IF(#REF!="pecs",#REF!*#REF!*#REF!,"")</f>
        <v>#REF!</v>
      </c>
      <c r="EZ44" s="56" t="str">
        <f t="shared" ref="EZ44:EZ50" si="579">IF(#REF!="dos",#REF!,"")</f>
        <v>#REF!</v>
      </c>
      <c r="FA44" s="56" t="str">
        <f t="shared" ref="FA44:FA50" si="580">IF(#REF!="dos",#REF!*#REF!*#REF!,"")</f>
        <v>#REF!</v>
      </c>
      <c r="FB44" s="56" t="str">
        <f t="shared" ref="FB44:FB50" si="581">IF(#REF!="épaules",#REF!,"")</f>
        <v>#REF!</v>
      </c>
      <c r="FC44" s="56" t="str">
        <f t="shared" ref="FC44:FC50" si="582">IF(#REF!="épaules",#REF!*#REF!*#REF!,"")</f>
        <v>#REF!</v>
      </c>
      <c r="FD44" s="56" t="str">
        <f t="shared" ref="FD44:FD50" si="583">IF(#REF!="biceps",#REF!,"")</f>
        <v>#REF!</v>
      </c>
      <c r="FE44" s="56" t="str">
        <f t="shared" ref="FE44:FE50" si="584">IF(#REF!="biceps",#REF!*#REF!*#REF!,"")</f>
        <v>#REF!</v>
      </c>
      <c r="FF44" s="56" t="str">
        <f t="shared" ref="FF44:FF50" si="585">IF(#REF!="triceps",#REF!,"")</f>
        <v>#REF!</v>
      </c>
      <c r="FG44" s="56" t="str">
        <f t="shared" ref="FG44:FG50" si="586">IF(#REF!="triceps",#REF!*#REF!*#REF!,"")</f>
        <v>#REF!</v>
      </c>
      <c r="FH44" s="56" t="str">
        <f t="shared" ref="FH44:FH50" si="587">IF(#REF!="quads",#REF!,"")</f>
        <v>#REF!</v>
      </c>
      <c r="FI44" s="56" t="str">
        <f t="shared" ref="FI44:FI50" si="588">IF(#REF!="quads",#REF!*#REF!*#REF!,"")</f>
        <v>#REF!</v>
      </c>
      <c r="FJ44" s="56" t="str">
        <f t="shared" ref="FJ44:FJ50" si="589">IF(#REF!="ischios",#REF!,"")</f>
        <v>#REF!</v>
      </c>
      <c r="FK44" s="56" t="str">
        <f t="shared" ref="FK44:FK50" si="590">IF(#REF!="ischios",#REF!*#REF!*#REF!,"")</f>
        <v>#REF!</v>
      </c>
      <c r="FL44" s="56" t="str">
        <f t="shared" ref="FL44:FL50" si="591">IF(#REF!="fessier",#REF!,"")</f>
        <v>#REF!</v>
      </c>
      <c r="FM44" s="56" t="str">
        <f t="shared" ref="FM44:FM50" si="592">IF(#REF!="fessier",#REF!*#REF!*#REF!,"")</f>
        <v>#REF!</v>
      </c>
      <c r="FN44" s="56" t="str">
        <f t="shared" ref="FN44:FN50" si="593">IF(#REF!="mollets",#REF!,"")</f>
        <v>#REF!</v>
      </c>
      <c r="FO44" s="56" t="str">
        <f t="shared" ref="FO44:FO50" si="594">IF(#REF!="mollets",#REF!*#REF!*#REF!,"")</f>
        <v>#REF!</v>
      </c>
    </row>
    <row r="45">
      <c r="A45" s="27"/>
      <c r="B45" s="26"/>
      <c r="C45" s="26"/>
      <c r="D45" s="26"/>
      <c r="E45" s="26"/>
      <c r="F45" s="26"/>
      <c r="G45" s="28"/>
      <c r="H45" s="26"/>
      <c r="I45" s="29"/>
      <c r="J45" s="26"/>
      <c r="K45" s="26"/>
      <c r="L45" s="90"/>
      <c r="M45" s="26"/>
      <c r="N45" s="27"/>
      <c r="O45" s="56">
        <f t="shared" si="474"/>
        <v>1</v>
      </c>
      <c r="P45" s="56">
        <f t="shared" si="475"/>
        <v>812.5</v>
      </c>
      <c r="Q45" s="57" t="str">
        <f t="shared" si="476"/>
        <v/>
      </c>
      <c r="R45" s="57" t="str">
        <f t="shared" si="477"/>
        <v/>
      </c>
      <c r="S45" s="57" t="str">
        <f t="shared" si="478"/>
        <v/>
      </c>
      <c r="T45" s="57" t="str">
        <f t="shared" si="479"/>
        <v/>
      </c>
      <c r="U45" s="57" t="str">
        <f t="shared" si="480"/>
        <v/>
      </c>
      <c r="V45" s="57" t="str">
        <f t="shared" si="481"/>
        <v/>
      </c>
      <c r="W45" s="57" t="str">
        <f t="shared" si="482"/>
        <v/>
      </c>
      <c r="X45" s="57" t="str">
        <f t="shared" si="483"/>
        <v/>
      </c>
      <c r="Y45" s="57" t="str">
        <f t="shared" si="484"/>
        <v/>
      </c>
      <c r="Z45" s="57" t="str">
        <f t="shared" si="485"/>
        <v/>
      </c>
      <c r="AA45" s="57" t="str">
        <f t="shared" si="486"/>
        <v/>
      </c>
      <c r="AB45" s="57" t="str">
        <f t="shared" si="487"/>
        <v/>
      </c>
      <c r="AC45" s="57" t="str">
        <f t="shared" si="488"/>
        <v/>
      </c>
      <c r="AD45" s="57" t="str">
        <f t="shared" si="489"/>
        <v/>
      </c>
      <c r="AE45" s="57" t="str">
        <f t="shared" si="490"/>
        <v/>
      </c>
      <c r="AF45" s="57" t="str">
        <f t="shared" si="491"/>
        <v/>
      </c>
      <c r="AG45" s="57" t="str">
        <f t="shared" si="492"/>
        <v/>
      </c>
      <c r="AH45" s="57" t="str">
        <f t="shared" si="493"/>
        <v/>
      </c>
      <c r="AI45" s="57" t="str">
        <f t="shared" si="494"/>
        <v/>
      </c>
      <c r="AJ45" s="57" t="str">
        <f t="shared" si="495"/>
        <v/>
      </c>
      <c r="AK45" s="57" t="str">
        <f t="shared" si="496"/>
        <v/>
      </c>
      <c r="AL45" s="57" t="str">
        <f t="shared" si="497"/>
        <v/>
      </c>
      <c r="AM45" s="27"/>
      <c r="AN45" s="26"/>
      <c r="AO45" s="26"/>
      <c r="AP45" s="26"/>
      <c r="AQ45" s="28"/>
      <c r="AR45" s="26"/>
      <c r="AS45" s="29"/>
      <c r="AT45" s="26"/>
      <c r="AU45" s="26"/>
      <c r="AV45" s="90"/>
      <c r="AW45" s="26"/>
      <c r="AX45" s="27"/>
      <c r="AY45" s="57" t="str">
        <f t="shared" si="498"/>
        <v/>
      </c>
      <c r="AZ45" s="57" t="str">
        <f t="shared" si="499"/>
        <v/>
      </c>
      <c r="BA45" s="57" t="str">
        <f t="shared" si="500"/>
        <v/>
      </c>
      <c r="BB45" s="57" t="str">
        <f t="shared" si="501"/>
        <v/>
      </c>
      <c r="BC45" s="56">
        <f t="shared" si="502"/>
        <v>2</v>
      </c>
      <c r="BD45" s="56">
        <f t="shared" si="503"/>
        <v>1725</v>
      </c>
      <c r="BE45" s="57" t="str">
        <f t="shared" si="504"/>
        <v/>
      </c>
      <c r="BF45" s="57" t="str">
        <f t="shared" si="505"/>
        <v/>
      </c>
      <c r="BG45" s="57" t="str">
        <f t="shared" si="506"/>
        <v/>
      </c>
      <c r="BH45" s="57" t="str">
        <f t="shared" si="507"/>
        <v/>
      </c>
      <c r="BI45" s="57" t="str">
        <f t="shared" si="508"/>
        <v/>
      </c>
      <c r="BJ45" s="57" t="str">
        <f t="shared" si="509"/>
        <v/>
      </c>
      <c r="BK45" s="57" t="str">
        <f t="shared" si="510"/>
        <v/>
      </c>
      <c r="BL45" s="57" t="str">
        <f t="shared" si="511"/>
        <v/>
      </c>
      <c r="BM45" s="57" t="str">
        <f t="shared" si="512"/>
        <v/>
      </c>
      <c r="BN45" s="57" t="str">
        <f t="shared" si="513"/>
        <v/>
      </c>
      <c r="BO45" s="57" t="str">
        <f t="shared" si="514"/>
        <v/>
      </c>
      <c r="BP45" s="57" t="str">
        <f t="shared" si="515"/>
        <v/>
      </c>
      <c r="BQ45" s="57" t="str">
        <f t="shared" si="516"/>
        <v/>
      </c>
      <c r="BR45" s="57" t="str">
        <f t="shared" si="517"/>
        <v/>
      </c>
      <c r="BS45" s="57" t="str">
        <f t="shared" si="518"/>
        <v/>
      </c>
      <c r="BT45" s="57" t="str">
        <f t="shared" si="519"/>
        <v/>
      </c>
      <c r="BU45" s="57" t="str">
        <f t="shared" si="520"/>
        <v/>
      </c>
      <c r="BV45" s="57" t="str">
        <f t="shared" si="521"/>
        <v/>
      </c>
      <c r="BW45" s="27"/>
      <c r="BX45" s="26" t="str">
        <f t="shared" ref="BX45:BY45" si="522">BX36</f>
        <v/>
      </c>
      <c r="BY45" s="26" t="str">
        <f t="shared" si="522"/>
        <v/>
      </c>
      <c r="BZ45" s="26"/>
      <c r="CA45" s="28" t="str">
        <f>CA36</f>
        <v/>
      </c>
      <c r="CB45" s="26"/>
      <c r="CC45" s="29"/>
      <c r="CD45" s="133" t="str">
        <f>IF(BX45="Squat",IF(CC45&gt;10,MROUND((CC45/100*SQMAX),2.5)," "),IF(BX45="Bench",IF(CC45&gt;10,MROUND((CC45/100*BNMAX),2.5)," "),IF(BX45="Deadlift",IF(CC45&gt;10,MROUND((CC45/100*DLMAX),2.5)," ")," ")))</f>
        <v> </v>
      </c>
      <c r="CE45" s="26"/>
      <c r="CF45" s="90" t="str">
        <f>IFERROR((CD45/VLOOKUP(CE45,'RPE vs. %'!$D$3:$P$11,CB45+1,FALSE)),"")</f>
        <v/>
      </c>
      <c r="CG45" s="26"/>
      <c r="CH45" s="27"/>
      <c r="CI45" s="57" t="str">
        <f t="shared" si="523"/>
        <v/>
      </c>
      <c r="CJ45" s="57" t="str">
        <f t="shared" si="524"/>
        <v/>
      </c>
      <c r="CK45" s="56">
        <f t="shared" si="525"/>
        <v>4</v>
      </c>
      <c r="CL45" s="56">
        <f t="shared" si="526"/>
        <v>1080</v>
      </c>
      <c r="CM45" s="57" t="str">
        <f t="shared" si="527"/>
        <v/>
      </c>
      <c r="CN45" s="57" t="str">
        <f t="shared" si="528"/>
        <v/>
      </c>
      <c r="CO45" s="57" t="str">
        <f t="shared" si="529"/>
        <v/>
      </c>
      <c r="CP45" s="57" t="str">
        <f t="shared" si="530"/>
        <v/>
      </c>
      <c r="CQ45" s="57" t="str">
        <f t="shared" si="531"/>
        <v/>
      </c>
      <c r="CR45" s="57" t="str">
        <f t="shared" si="532"/>
        <v/>
      </c>
      <c r="CS45" s="57" t="str">
        <f t="shared" si="533"/>
        <v/>
      </c>
      <c r="CT45" s="57" t="str">
        <f t="shared" si="534"/>
        <v/>
      </c>
      <c r="CU45" s="57" t="str">
        <f t="shared" si="535"/>
        <v/>
      </c>
      <c r="CV45" s="57" t="str">
        <f t="shared" si="536"/>
        <v/>
      </c>
      <c r="CW45" s="57" t="str">
        <f t="shared" si="537"/>
        <v/>
      </c>
      <c r="CX45" s="57" t="str">
        <f t="shared" si="538"/>
        <v/>
      </c>
      <c r="CY45" s="57" t="str">
        <f t="shared" si="539"/>
        <v/>
      </c>
      <c r="CZ45" s="57" t="str">
        <f t="shared" si="540"/>
        <v/>
      </c>
      <c r="DA45" s="57" t="str">
        <f t="shared" si="541"/>
        <v/>
      </c>
      <c r="DB45" s="57" t="str">
        <f t="shared" si="542"/>
        <v/>
      </c>
      <c r="DC45" s="57" t="str">
        <f t="shared" si="543"/>
        <v/>
      </c>
      <c r="DD45" s="57" t="str">
        <f t="shared" si="544"/>
        <v/>
      </c>
      <c r="DE45" s="57" t="str">
        <f t="shared" si="545"/>
        <v/>
      </c>
      <c r="DF45" s="57" t="str">
        <f t="shared" si="546"/>
        <v/>
      </c>
      <c r="DG45" s="27"/>
      <c r="DH45" s="26"/>
      <c r="DI45" s="26"/>
      <c r="DJ45" s="26"/>
      <c r="DK45" s="28"/>
      <c r="DL45" s="26"/>
      <c r="DM45" s="36"/>
      <c r="DN45" s="26"/>
      <c r="DO45" s="26"/>
      <c r="DP45" s="90"/>
      <c r="DQ45" s="26"/>
      <c r="DR45" s="27"/>
      <c r="DS45" s="27"/>
      <c r="DT45" s="57" t="str">
        <f t="shared" si="547"/>
        <v/>
      </c>
      <c r="DU45" s="57" t="str">
        <f t="shared" si="548"/>
        <v/>
      </c>
      <c r="DV45" s="56">
        <f t="shared" si="549"/>
        <v>3</v>
      </c>
      <c r="DW45" s="56">
        <f t="shared" si="550"/>
        <v>1147.5</v>
      </c>
      <c r="DX45" s="57" t="str">
        <f t="shared" si="551"/>
        <v/>
      </c>
      <c r="DY45" s="57" t="str">
        <f t="shared" si="552"/>
        <v/>
      </c>
      <c r="DZ45" s="57" t="str">
        <f t="shared" si="553"/>
        <v/>
      </c>
      <c r="EA45" s="57" t="str">
        <f t="shared" si="554"/>
        <v/>
      </c>
      <c r="EB45" s="57" t="str">
        <f t="shared" si="555"/>
        <v/>
      </c>
      <c r="EC45" s="57" t="str">
        <f t="shared" si="556"/>
        <v/>
      </c>
      <c r="ED45" s="57" t="str">
        <f t="shared" si="557"/>
        <v/>
      </c>
      <c r="EE45" s="57" t="str">
        <f t="shared" si="558"/>
        <v/>
      </c>
      <c r="EF45" s="57" t="str">
        <f t="shared" si="559"/>
        <v/>
      </c>
      <c r="EG45" s="57" t="str">
        <f t="shared" si="560"/>
        <v/>
      </c>
      <c r="EH45" s="57" t="str">
        <f t="shared" si="561"/>
        <v/>
      </c>
      <c r="EI45" s="57" t="str">
        <f t="shared" si="562"/>
        <v/>
      </c>
      <c r="EJ45" s="57" t="str">
        <f t="shared" si="563"/>
        <v/>
      </c>
      <c r="EK45" s="57" t="str">
        <f t="shared" si="564"/>
        <v/>
      </c>
      <c r="EL45" s="57" t="str">
        <f t="shared" si="565"/>
        <v/>
      </c>
      <c r="EM45" s="57" t="str">
        <f t="shared" si="566"/>
        <v/>
      </c>
      <c r="EN45" s="57" t="str">
        <f t="shared" si="567"/>
        <v/>
      </c>
      <c r="EO45" s="57" t="str">
        <f t="shared" si="568"/>
        <v/>
      </c>
      <c r="EP45" s="57" t="str">
        <f t="shared" si="569"/>
        <v/>
      </c>
      <c r="EQ45" s="57" t="str">
        <f t="shared" si="570"/>
        <v/>
      </c>
      <c r="ER45" s="56" t="str">
        <f t="shared" si="571"/>
        <v>#REF!</v>
      </c>
      <c r="ES45" s="56" t="str">
        <f t="shared" si="572"/>
        <v>#REF!</v>
      </c>
      <c r="ET45" s="56" t="str">
        <f t="shared" si="573"/>
        <v>#REF!</v>
      </c>
      <c r="EU45" s="56" t="str">
        <f t="shared" si="574"/>
        <v>#REF!</v>
      </c>
      <c r="EV45" s="56" t="str">
        <f t="shared" si="575"/>
        <v>#REF!</v>
      </c>
      <c r="EW45" s="56" t="str">
        <f t="shared" si="576"/>
        <v>#REF!</v>
      </c>
      <c r="EX45" s="56" t="str">
        <f t="shared" si="577"/>
        <v>#REF!</v>
      </c>
      <c r="EY45" s="56" t="str">
        <f t="shared" si="578"/>
        <v>#REF!</v>
      </c>
      <c r="EZ45" s="56" t="str">
        <f t="shared" si="579"/>
        <v>#REF!</v>
      </c>
      <c r="FA45" s="56" t="str">
        <f t="shared" si="580"/>
        <v>#REF!</v>
      </c>
      <c r="FB45" s="56" t="str">
        <f t="shared" si="581"/>
        <v>#REF!</v>
      </c>
      <c r="FC45" s="56" t="str">
        <f t="shared" si="582"/>
        <v>#REF!</v>
      </c>
      <c r="FD45" s="56" t="str">
        <f t="shared" si="583"/>
        <v>#REF!</v>
      </c>
      <c r="FE45" s="56" t="str">
        <f t="shared" si="584"/>
        <v>#REF!</v>
      </c>
      <c r="FF45" s="56" t="str">
        <f t="shared" si="585"/>
        <v>#REF!</v>
      </c>
      <c r="FG45" s="56" t="str">
        <f t="shared" si="586"/>
        <v>#REF!</v>
      </c>
      <c r="FH45" s="56" t="str">
        <f t="shared" si="587"/>
        <v>#REF!</v>
      </c>
      <c r="FI45" s="56" t="str">
        <f t="shared" si="588"/>
        <v>#REF!</v>
      </c>
      <c r="FJ45" s="56" t="str">
        <f t="shared" si="589"/>
        <v>#REF!</v>
      </c>
      <c r="FK45" s="56" t="str">
        <f t="shared" si="590"/>
        <v>#REF!</v>
      </c>
      <c r="FL45" s="56" t="str">
        <f t="shared" si="591"/>
        <v>#REF!</v>
      </c>
      <c r="FM45" s="56" t="str">
        <f t="shared" si="592"/>
        <v>#REF!</v>
      </c>
      <c r="FN45" s="56" t="str">
        <f t="shared" si="593"/>
        <v>#REF!</v>
      </c>
      <c r="FO45" s="56" t="str">
        <f t="shared" si="594"/>
        <v>#REF!</v>
      </c>
    </row>
    <row r="46">
      <c r="A46" s="27"/>
      <c r="B46" s="26"/>
      <c r="C46" s="26"/>
      <c r="D46" s="37" t="s">
        <v>23</v>
      </c>
      <c r="E46" s="37" t="s">
        <v>24</v>
      </c>
      <c r="F46" s="38" t="s">
        <v>25</v>
      </c>
      <c r="G46" s="39" t="s">
        <v>26</v>
      </c>
      <c r="H46" s="40" t="s">
        <v>27</v>
      </c>
      <c r="I46" s="41" t="s">
        <v>28</v>
      </c>
      <c r="J46" s="37" t="s">
        <v>29</v>
      </c>
      <c r="K46" s="37" t="s">
        <v>30</v>
      </c>
      <c r="L46" s="92" t="s">
        <v>31</v>
      </c>
      <c r="M46" s="42" t="s">
        <v>32</v>
      </c>
      <c r="N46" s="27"/>
      <c r="O46" s="57" t="str">
        <f t="shared" ref="O46:O48" si="596">IF(D42="Squat",G42,"")</f>
        <v/>
      </c>
      <c r="P46" s="57" t="str">
        <f t="shared" ref="P46:P48" si="597">IF(D42="Squat",G42*H42*J42,"")</f>
        <v/>
      </c>
      <c r="Q46" s="57" t="str">
        <f t="shared" ref="Q46:Q48" si="598">IF(D42="Bench",G42,"")</f>
        <v/>
      </c>
      <c r="R46" s="57" t="str">
        <f t="shared" ref="R46:R48" si="599">IF(D42="Bench",G42*H42*J42,"")</f>
        <v/>
      </c>
      <c r="S46" s="57" t="str">
        <f t="shared" ref="S46:S48" si="600">IF(D42="Deadlift",G42,"")</f>
        <v/>
      </c>
      <c r="T46" s="57" t="str">
        <f t="shared" ref="T46:T48" si="601">IF(D42="Deadlift",G42*H42*J42,"")</f>
        <v/>
      </c>
      <c r="U46" s="57" t="str">
        <f t="shared" ref="U46:U48" si="602">IF(E42="pecs",G42,"")</f>
        <v/>
      </c>
      <c r="V46" s="57" t="str">
        <f t="shared" ref="V46:V48" si="603">IF(E42="pecs",G42*H42*J42,"")</f>
        <v/>
      </c>
      <c r="W46" s="57" t="str">
        <f t="shared" ref="W46:W48" si="604">IF(E42="dos",G42,"")</f>
        <v/>
      </c>
      <c r="X46" s="57" t="str">
        <f t="shared" ref="X46:X48" si="605">IF(E42="dos",G42*H42*J42,"")</f>
        <v/>
      </c>
      <c r="Y46" s="57" t="str">
        <f t="shared" ref="Y46:Y48" si="606">IF(E42="épaules",G42,"")</f>
        <v/>
      </c>
      <c r="Z46" s="57" t="str">
        <f t="shared" ref="Z46:Z48" si="607">IF(E42="épaules",G42*H42*J42,"")</f>
        <v/>
      </c>
      <c r="AA46" s="57" t="str">
        <f t="shared" ref="AA46:AA48" si="608">IF(E42="biceps",G42,"")</f>
        <v/>
      </c>
      <c r="AB46" s="57" t="str">
        <f t="shared" ref="AB46:AB48" si="609">IF(E42="biceps",G42*H42*J42,"")</f>
        <v/>
      </c>
      <c r="AC46" s="57" t="str">
        <f t="shared" ref="AC46:AC48" si="610">IF(E42="triceps",G42,"")</f>
        <v/>
      </c>
      <c r="AD46" s="57" t="str">
        <f t="shared" ref="AD46:AD48" si="611">IF(E42="triceps",G42*H42*J42,"")</f>
        <v/>
      </c>
      <c r="AE46" s="57" t="str">
        <f t="shared" ref="AE46:AE48" si="612">IF(E42="quads",G42,"")</f>
        <v/>
      </c>
      <c r="AF46" s="57" t="str">
        <f t="shared" ref="AF46:AF48" si="613">IF(E42="quads",G42*H42*J42,"")</f>
        <v/>
      </c>
      <c r="AG46" s="57" t="str">
        <f t="shared" ref="AG46:AG48" si="614">IF(E42="ischios",G42,"")</f>
        <v/>
      </c>
      <c r="AH46" s="57" t="str">
        <f t="shared" ref="AH46:AH48" si="615">IF(E42="ischios",G42*H42*J42,"")</f>
        <v/>
      </c>
      <c r="AI46" s="57" t="str">
        <f t="shared" ref="AI46:AI48" si="616">IF(E42="fessier",G42,"")</f>
        <v/>
      </c>
      <c r="AJ46" s="57" t="str">
        <f t="shared" ref="AJ46:AJ48" si="617">IF(E42="fessier",G42*H42*J42,"")</f>
        <v/>
      </c>
      <c r="AK46" s="57" t="str">
        <f t="shared" ref="AK46:AK48" si="618">IF(E42="mollets",G42,"")</f>
        <v/>
      </c>
      <c r="AL46" s="57" t="str">
        <f t="shared" ref="AL46:AL48" si="619">IF(E42="mollets",G42*H42*J42,"")</f>
        <v/>
      </c>
      <c r="AM46" s="27"/>
      <c r="AN46" s="37" t="s">
        <v>23</v>
      </c>
      <c r="AO46" s="37" t="s">
        <v>24</v>
      </c>
      <c r="AP46" s="38" t="s">
        <v>25</v>
      </c>
      <c r="AQ46" s="39" t="s">
        <v>26</v>
      </c>
      <c r="AR46" s="40" t="s">
        <v>27</v>
      </c>
      <c r="AS46" s="41" t="s">
        <v>28</v>
      </c>
      <c r="AT46" s="37" t="s">
        <v>29</v>
      </c>
      <c r="AU46" s="37" t="s">
        <v>30</v>
      </c>
      <c r="AV46" s="92" t="s">
        <v>31</v>
      </c>
      <c r="AW46" s="42" t="s">
        <v>32</v>
      </c>
      <c r="AX46" s="27"/>
      <c r="AY46" s="57" t="str">
        <f t="shared" ref="AY46:AY48" si="621">IF(AN42="Squat",AQ42,"")</f>
        <v/>
      </c>
      <c r="AZ46" s="57" t="str">
        <f t="shared" ref="AZ46:AZ48" si="622">IF(AN42="Squat",AQ42*AR42*AT42,"")</f>
        <v/>
      </c>
      <c r="BA46" s="57" t="str">
        <f t="shared" ref="BA46:BA48" si="623">IF(AN42="Bench",AQ42,"")</f>
        <v/>
      </c>
      <c r="BB46" s="57" t="str">
        <f t="shared" ref="BB46:BB48" si="624">IF(AN42="Bench",AQ42*AR42*AT42,"")</f>
        <v/>
      </c>
      <c r="BC46" s="57" t="str">
        <f t="shared" ref="BC46:BC48" si="625">IF(AN42="Deadlift",AQ42,"")</f>
        <v/>
      </c>
      <c r="BD46" s="57" t="str">
        <f t="shared" ref="BD46:BD48" si="626">IF(AN42="Deadlift",AQ42*AR42*AT42,"")</f>
        <v/>
      </c>
      <c r="BE46" s="57" t="str">
        <f t="shared" ref="BE46:BE48" si="627">IF(AO42="pecs",AQ42,"")</f>
        <v/>
      </c>
      <c r="BF46" s="57" t="str">
        <f t="shared" ref="BF46:BF48" si="628">IF(AO42="pecs",AQ42*AR42*AT42,"")</f>
        <v/>
      </c>
      <c r="BG46" s="57" t="str">
        <f t="shared" ref="BG46:BG48" si="629">IF(AO42="dos",AQ42,"")</f>
        <v/>
      </c>
      <c r="BH46" s="57" t="str">
        <f t="shared" ref="BH46:BH48" si="630">IF(AO42="dos",AQ42*AR42*AT42,"")</f>
        <v/>
      </c>
      <c r="BI46" s="57" t="str">
        <f t="shared" ref="BI46:BI48" si="631">IF(AO42="épaules",AQ42,"")</f>
        <v/>
      </c>
      <c r="BJ46" s="57" t="str">
        <f t="shared" ref="BJ46:BJ48" si="632">IF(AO42="épaules",AQ42*AR42*AT42,"")</f>
        <v/>
      </c>
      <c r="BK46" s="57" t="str">
        <f t="shared" ref="BK46:BK48" si="633">IF(AO42="biceps",AQ42,"")</f>
        <v/>
      </c>
      <c r="BL46" s="57" t="str">
        <f t="shared" ref="BL46:BL48" si="634">IF(AO42="biceps",AQ42*AR42*AT42,"")</f>
        <v/>
      </c>
      <c r="BM46" s="57" t="str">
        <f t="shared" ref="BM46:BM48" si="635">IF(AO42="triceps",AQ42,"")</f>
        <v/>
      </c>
      <c r="BN46" s="57" t="str">
        <f t="shared" ref="BN46:BN48" si="636">IF(AO42="triceps",AQ42*AR42*AT42,"")</f>
        <v/>
      </c>
      <c r="BO46" s="57" t="str">
        <f t="shared" ref="BO46:BO48" si="637">IF(AO42="quads",AQ42,"")</f>
        <v/>
      </c>
      <c r="BP46" s="57" t="str">
        <f t="shared" ref="BP46:BP48" si="638">IF(AO42="quads",AQ42*AR42*AT42,"")</f>
        <v/>
      </c>
      <c r="BQ46" s="57" t="str">
        <f t="shared" ref="BQ46:BQ48" si="639">IF(AO42="ischios",AQ42,"")</f>
        <v/>
      </c>
      <c r="BR46" s="57" t="str">
        <f t="shared" ref="BR46:BR48" si="640">IF(AO42="ischios",AQ42*AR42*AT42,"")</f>
        <v/>
      </c>
      <c r="BS46" s="57" t="str">
        <f t="shared" ref="BS46:BS48" si="641">IF(AO42="fessier",AQ42,"")</f>
        <v/>
      </c>
      <c r="BT46" s="57" t="str">
        <f t="shared" ref="BT46:BT48" si="642">IF(AO42="fessier",AQ42*AR42*AT42,"")</f>
        <v/>
      </c>
      <c r="BU46" s="57" t="str">
        <f t="shared" ref="BU46:BU48" si="643">IF(AO42="mollets",AQ42,"")</f>
        <v/>
      </c>
      <c r="BV46" s="57" t="str">
        <f t="shared" ref="BV46:BV48" si="644">IF(AO42="mollets",AQ42*AR42*AT42,"")</f>
        <v/>
      </c>
      <c r="BW46" s="27"/>
      <c r="BX46" s="37" t="s">
        <v>23</v>
      </c>
      <c r="BY46" s="37" t="s">
        <v>24</v>
      </c>
      <c r="BZ46" s="38" t="s">
        <v>25</v>
      </c>
      <c r="CA46" s="39" t="s">
        <v>26</v>
      </c>
      <c r="CB46" s="40" t="s">
        <v>27</v>
      </c>
      <c r="CC46" s="41" t="s">
        <v>28</v>
      </c>
      <c r="CD46" s="37" t="s">
        <v>29</v>
      </c>
      <c r="CE46" s="37" t="s">
        <v>30</v>
      </c>
      <c r="CF46" s="92" t="s">
        <v>31</v>
      </c>
      <c r="CG46" s="42" t="s">
        <v>32</v>
      </c>
      <c r="CH46" s="27"/>
      <c r="CI46" s="57" t="str">
        <f t="shared" ref="CI46:CI48" si="646">IF(BX42="Squat",CA42,"")</f>
        <v/>
      </c>
      <c r="CJ46" s="57" t="str">
        <f t="shared" ref="CJ46:CJ48" si="647">IF(BX42="Squat",CA42*CB42*CD42,"")</f>
        <v/>
      </c>
      <c r="CK46" s="57" t="str">
        <f t="shared" ref="CK46:CK48" si="648">IF(BX42="Bench",CA42,"")</f>
        <v/>
      </c>
      <c r="CL46" s="57" t="str">
        <f t="shared" ref="CL46:CL48" si="649">IF(BX42="Bench",CA42*CB42*CD42,"")</f>
        <v/>
      </c>
      <c r="CM46" s="57" t="str">
        <f t="shared" ref="CM46:CM48" si="650">IF(BX42="Deadlift",CA42,"")</f>
        <v/>
      </c>
      <c r="CN46" s="57" t="str">
        <f t="shared" ref="CN46:CN48" si="651">IF(BX42="Deadlift",CA42*CB42*CD42,"")</f>
        <v/>
      </c>
      <c r="CO46" s="57" t="str">
        <f t="shared" ref="CO46:CO48" si="652">IF(BY42="pecs",CA42,"")</f>
        <v/>
      </c>
      <c r="CP46" s="57" t="str">
        <f t="shared" ref="CP46:CP48" si="653">IF(BY42="pecs",CA42*CB42*CD42,"")</f>
        <v/>
      </c>
      <c r="CQ46" s="57" t="str">
        <f t="shared" ref="CQ46:CQ48" si="654">IF(BY42="dos",CA42,"")</f>
        <v/>
      </c>
      <c r="CR46" s="57" t="str">
        <f t="shared" ref="CR46:CR48" si="655">IF(BY42="dos",CA42*CB42*CD42,"")</f>
        <v/>
      </c>
      <c r="CS46" s="57" t="str">
        <f t="shared" ref="CS46:CS48" si="656">IF(BY42="épaules",CA42,"")</f>
        <v/>
      </c>
      <c r="CT46" s="57" t="str">
        <f t="shared" ref="CT46:CT48" si="657">IF(BY42="épaules",CA42*CB42*CD42,"")</f>
        <v/>
      </c>
      <c r="CU46" s="57" t="str">
        <f t="shared" ref="CU46:CU48" si="658">IF(BY42="biceps",CA42,"")</f>
        <v/>
      </c>
      <c r="CV46" s="57" t="str">
        <f t="shared" ref="CV46:CV48" si="659">IF(BY42="biceps",CA42*CB42*CD42,"")</f>
        <v/>
      </c>
      <c r="CW46" s="57" t="str">
        <f t="shared" ref="CW46:CW48" si="660">IF(BY42="triceps",CA42,"")</f>
        <v/>
      </c>
      <c r="CX46" s="57" t="str">
        <f t="shared" ref="CX46:CX48" si="661">IF(BY42="triceps",CA42*CB42*CD42,"")</f>
        <v/>
      </c>
      <c r="CY46" s="57" t="str">
        <f t="shared" ref="CY46:CY48" si="662">IF(BY42="quads",CA42,"")</f>
        <v/>
      </c>
      <c r="CZ46" s="57" t="str">
        <f t="shared" ref="CZ46:CZ48" si="663">IF(BY42="quads",CA42*CB42*CD42,"")</f>
        <v/>
      </c>
      <c r="DA46" s="57" t="str">
        <f t="shared" ref="DA46:DA48" si="664">IF(BY42="ischios",CA42,"")</f>
        <v/>
      </c>
      <c r="DB46" s="57" t="str">
        <f t="shared" ref="DB46:DB48" si="665">IF(BY42="ischios",CA42*CB42*CD42,"")</f>
        <v/>
      </c>
      <c r="DC46" s="57" t="str">
        <f t="shared" ref="DC46:DC48" si="666">IF(BY42="fessier",CA42,"")</f>
        <v/>
      </c>
      <c r="DD46" s="57" t="str">
        <f t="shared" ref="DD46:DD48" si="667">IF(BY42="fessier",CA42*CB42*CD42,"")</f>
        <v/>
      </c>
      <c r="DE46" s="57" t="str">
        <f t="shared" ref="DE46:DE48" si="668">IF(BY42="mollets",CA42,"")</f>
        <v/>
      </c>
      <c r="DF46" s="57" t="str">
        <f t="shared" ref="DF46:DF48" si="669">IF(BY42="mollets",CA42*CB42*CD42,"")</f>
        <v/>
      </c>
      <c r="DG46" s="27"/>
      <c r="DH46" s="37" t="s">
        <v>23</v>
      </c>
      <c r="DI46" s="37" t="s">
        <v>24</v>
      </c>
      <c r="DJ46" s="38" t="s">
        <v>25</v>
      </c>
      <c r="DK46" s="39" t="s">
        <v>26</v>
      </c>
      <c r="DL46" s="40" t="s">
        <v>27</v>
      </c>
      <c r="DM46" s="44" t="s">
        <v>28</v>
      </c>
      <c r="DN46" s="37" t="s">
        <v>29</v>
      </c>
      <c r="DO46" s="37" t="s">
        <v>30</v>
      </c>
      <c r="DP46" s="92" t="s">
        <v>31</v>
      </c>
      <c r="DQ46" s="42" t="s">
        <v>32</v>
      </c>
      <c r="DR46" s="27"/>
      <c r="DS46" s="27"/>
      <c r="DT46" s="57" t="str">
        <f t="shared" si="547"/>
        <v/>
      </c>
      <c r="DU46" s="57" t="str">
        <f t="shared" si="548"/>
        <v/>
      </c>
      <c r="DV46" s="57" t="str">
        <f t="shared" si="549"/>
        <v/>
      </c>
      <c r="DW46" s="57" t="str">
        <f t="shared" si="550"/>
        <v/>
      </c>
      <c r="DX46" s="56">
        <f t="shared" si="551"/>
        <v>3</v>
      </c>
      <c r="DY46" s="56">
        <f t="shared" si="552"/>
        <v>2047.5</v>
      </c>
      <c r="DZ46" s="57" t="str">
        <f t="shared" si="553"/>
        <v/>
      </c>
      <c r="EA46" s="57" t="str">
        <f t="shared" si="554"/>
        <v/>
      </c>
      <c r="EB46" s="57" t="str">
        <f t="shared" si="555"/>
        <v/>
      </c>
      <c r="EC46" s="57" t="str">
        <f t="shared" si="556"/>
        <v/>
      </c>
      <c r="ED46" s="57" t="str">
        <f t="shared" si="557"/>
        <v/>
      </c>
      <c r="EE46" s="57" t="str">
        <f t="shared" si="558"/>
        <v/>
      </c>
      <c r="EF46" s="57" t="str">
        <f t="shared" si="559"/>
        <v/>
      </c>
      <c r="EG46" s="57" t="str">
        <f t="shared" si="560"/>
        <v/>
      </c>
      <c r="EH46" s="57" t="str">
        <f t="shared" si="561"/>
        <v/>
      </c>
      <c r="EI46" s="57" t="str">
        <f t="shared" si="562"/>
        <v/>
      </c>
      <c r="EJ46" s="57" t="str">
        <f t="shared" si="563"/>
        <v/>
      </c>
      <c r="EK46" s="57" t="str">
        <f t="shared" si="564"/>
        <v/>
      </c>
      <c r="EL46" s="57" t="str">
        <f t="shared" si="565"/>
        <v/>
      </c>
      <c r="EM46" s="57" t="str">
        <f t="shared" si="566"/>
        <v/>
      </c>
      <c r="EN46" s="57" t="str">
        <f t="shared" si="567"/>
        <v/>
      </c>
      <c r="EO46" s="57" t="str">
        <f t="shared" si="568"/>
        <v/>
      </c>
      <c r="EP46" s="57" t="str">
        <f t="shared" si="569"/>
        <v/>
      </c>
      <c r="EQ46" s="57" t="str">
        <f t="shared" si="570"/>
        <v/>
      </c>
      <c r="ER46" s="56" t="str">
        <f t="shared" si="571"/>
        <v>#REF!</v>
      </c>
      <c r="ES46" s="56" t="str">
        <f t="shared" si="572"/>
        <v>#REF!</v>
      </c>
      <c r="ET46" s="56" t="str">
        <f t="shared" si="573"/>
        <v>#REF!</v>
      </c>
      <c r="EU46" s="56" t="str">
        <f t="shared" si="574"/>
        <v>#REF!</v>
      </c>
      <c r="EV46" s="56" t="str">
        <f t="shared" si="575"/>
        <v>#REF!</v>
      </c>
      <c r="EW46" s="56" t="str">
        <f t="shared" si="576"/>
        <v>#REF!</v>
      </c>
      <c r="EX46" s="56" t="str">
        <f t="shared" si="577"/>
        <v>#REF!</v>
      </c>
      <c r="EY46" s="56" t="str">
        <f t="shared" si="578"/>
        <v>#REF!</v>
      </c>
      <c r="EZ46" s="56" t="str">
        <f t="shared" si="579"/>
        <v>#REF!</v>
      </c>
      <c r="FA46" s="56" t="str">
        <f t="shared" si="580"/>
        <v>#REF!</v>
      </c>
      <c r="FB46" s="56" t="str">
        <f t="shared" si="581"/>
        <v>#REF!</v>
      </c>
      <c r="FC46" s="56" t="str">
        <f t="shared" si="582"/>
        <v>#REF!</v>
      </c>
      <c r="FD46" s="56" t="str">
        <f t="shared" si="583"/>
        <v>#REF!</v>
      </c>
      <c r="FE46" s="56" t="str">
        <f t="shared" si="584"/>
        <v>#REF!</v>
      </c>
      <c r="FF46" s="56" t="str">
        <f t="shared" si="585"/>
        <v>#REF!</v>
      </c>
      <c r="FG46" s="56" t="str">
        <f t="shared" si="586"/>
        <v>#REF!</v>
      </c>
      <c r="FH46" s="56" t="str">
        <f t="shared" si="587"/>
        <v>#REF!</v>
      </c>
      <c r="FI46" s="56" t="str">
        <f t="shared" si="588"/>
        <v>#REF!</v>
      </c>
      <c r="FJ46" s="56" t="str">
        <f t="shared" si="589"/>
        <v>#REF!</v>
      </c>
      <c r="FK46" s="56" t="str">
        <f t="shared" si="590"/>
        <v>#REF!</v>
      </c>
      <c r="FL46" s="56" t="str">
        <f t="shared" si="591"/>
        <v>#REF!</v>
      </c>
      <c r="FM46" s="56" t="str">
        <f t="shared" si="592"/>
        <v>#REF!</v>
      </c>
      <c r="FN46" s="56" t="str">
        <f t="shared" si="593"/>
        <v>#REF!</v>
      </c>
      <c r="FO46" s="56" t="str">
        <f t="shared" si="594"/>
        <v>#REF!</v>
      </c>
    </row>
    <row r="47">
      <c r="A47" s="27"/>
      <c r="B47" s="45" t="s">
        <v>62</v>
      </c>
      <c r="C47" s="46"/>
      <c r="D47" s="47" t="str">
        <f t="shared" ref="D47:H47" si="595">D38</f>
        <v>Squat</v>
      </c>
      <c r="E47" s="48" t="str">
        <f t="shared" si="595"/>
        <v/>
      </c>
      <c r="F47" s="49" t="str">
        <f t="shared" si="595"/>
        <v>Squat 4/1/0</v>
      </c>
      <c r="G47" s="50">
        <f t="shared" si="595"/>
        <v>2</v>
      </c>
      <c r="H47" s="51">
        <f t="shared" si="595"/>
        <v>5</v>
      </c>
      <c r="I47" s="52">
        <v>79.0</v>
      </c>
      <c r="J47" s="53">
        <f>IF(D47="Squat",IF(I47&gt;10,MROUND((I47/100*SQMAX),2.5)," "),IF(D47="Bench",IF(I47&gt;10,MROUND((I47/100*BNMAX),2.5)," "),IF(D47="Deadlift",IF(I47&gt;10,MROUND((I47/100*DLMAX),2.5)," ")," ")))</f>
        <v>157.5</v>
      </c>
      <c r="K47" s="26"/>
      <c r="L47" s="54" t="str">
        <f>IFERROR((J47/VLOOKUP(K47,'RPE vs. %'!$D$3:$P$11,H47+1,FALSE)),"")</f>
        <v/>
      </c>
      <c r="M47" s="55" t="s">
        <v>37</v>
      </c>
      <c r="N47" s="27"/>
      <c r="O47" s="57" t="str">
        <f t="shared" si="596"/>
        <v/>
      </c>
      <c r="P47" s="57" t="str">
        <f t="shared" si="597"/>
        <v/>
      </c>
      <c r="Q47" s="57" t="str">
        <f t="shared" si="598"/>
        <v/>
      </c>
      <c r="R47" s="57" t="str">
        <f t="shared" si="599"/>
        <v/>
      </c>
      <c r="S47" s="57" t="str">
        <f t="shared" si="600"/>
        <v/>
      </c>
      <c r="T47" s="57" t="str">
        <f t="shared" si="601"/>
        <v/>
      </c>
      <c r="U47" s="57" t="str">
        <f t="shared" si="602"/>
        <v/>
      </c>
      <c r="V47" s="57" t="str">
        <f t="shared" si="603"/>
        <v/>
      </c>
      <c r="W47" s="57" t="str">
        <f t="shared" si="604"/>
        <v/>
      </c>
      <c r="X47" s="57" t="str">
        <f t="shared" si="605"/>
        <v/>
      </c>
      <c r="Y47" s="57" t="str">
        <f t="shared" si="606"/>
        <v/>
      </c>
      <c r="Z47" s="57" t="str">
        <f t="shared" si="607"/>
        <v/>
      </c>
      <c r="AA47" s="57" t="str">
        <f t="shared" si="608"/>
        <v/>
      </c>
      <c r="AB47" s="57" t="str">
        <f t="shared" si="609"/>
        <v/>
      </c>
      <c r="AC47" s="57" t="str">
        <f t="shared" si="610"/>
        <v/>
      </c>
      <c r="AD47" s="57" t="str">
        <f t="shared" si="611"/>
        <v/>
      </c>
      <c r="AE47" s="57" t="str">
        <f t="shared" si="612"/>
        <v/>
      </c>
      <c r="AF47" s="57" t="str">
        <f t="shared" si="613"/>
        <v/>
      </c>
      <c r="AG47" s="57" t="str">
        <f t="shared" si="614"/>
        <v/>
      </c>
      <c r="AH47" s="57" t="str">
        <f t="shared" si="615"/>
        <v/>
      </c>
      <c r="AI47" s="57" t="str">
        <f t="shared" si="616"/>
        <v/>
      </c>
      <c r="AJ47" s="57" t="str">
        <f t="shared" si="617"/>
        <v/>
      </c>
      <c r="AK47" s="57" t="str">
        <f t="shared" si="618"/>
        <v/>
      </c>
      <c r="AL47" s="57" t="str">
        <f t="shared" si="619"/>
        <v/>
      </c>
      <c r="AM47" s="27"/>
      <c r="AN47" s="58" t="str">
        <f t="shared" ref="AN47:AR47" si="620">AN38</f>
        <v>Deadlift</v>
      </c>
      <c r="AO47" s="59" t="str">
        <f t="shared" si="620"/>
        <v/>
      </c>
      <c r="AP47" s="60" t="str">
        <f t="shared" si="620"/>
        <v>Deadlift</v>
      </c>
      <c r="AQ47" s="61">
        <f t="shared" si="620"/>
        <v>3</v>
      </c>
      <c r="AR47" s="62">
        <f t="shared" si="620"/>
        <v>3</v>
      </c>
      <c r="AS47" s="111">
        <f t="shared" ref="AS47:AS49" si="673">AS38+3</f>
        <v>92</v>
      </c>
      <c r="AT47" s="32">
        <f>IF(AN47="Squat",IF(AS47&gt;10,MROUND((AS47/100*SQMAX),2.5)," "),IF(AN47="Bench",IF(AS47&gt;10,MROUND((AS47/100*BNMAX),2.5)," "),IF(AN47="Deadlift",IF(AS47&gt;10,MROUND((AS47/100*DLMAX),2.5)," ")," ")))</f>
        <v>230</v>
      </c>
      <c r="AU47" s="26"/>
      <c r="AV47" s="54" t="str">
        <f>IFERROR((AT47/VLOOKUP(AU47,'RPE vs. %'!$D$3:$P$11,AR47+1,FALSE)),"")</f>
        <v/>
      </c>
      <c r="AW47" s="55" t="s">
        <v>37</v>
      </c>
      <c r="AX47" s="27"/>
      <c r="AY47" s="57" t="str">
        <f t="shared" si="621"/>
        <v/>
      </c>
      <c r="AZ47" s="57" t="str">
        <f t="shared" si="622"/>
        <v/>
      </c>
      <c r="BA47" s="57" t="str">
        <f t="shared" si="623"/>
        <v/>
      </c>
      <c r="BB47" s="57" t="str">
        <f t="shared" si="624"/>
        <v/>
      </c>
      <c r="BC47" s="57" t="str">
        <f t="shared" si="625"/>
        <v/>
      </c>
      <c r="BD47" s="57" t="str">
        <f t="shared" si="626"/>
        <v/>
      </c>
      <c r="BE47" s="57" t="str">
        <f t="shared" si="627"/>
        <v/>
      </c>
      <c r="BF47" s="57" t="str">
        <f t="shared" si="628"/>
        <v/>
      </c>
      <c r="BG47" s="57" t="str">
        <f t="shared" si="629"/>
        <v/>
      </c>
      <c r="BH47" s="57" t="str">
        <f t="shared" si="630"/>
        <v/>
      </c>
      <c r="BI47" s="57" t="str">
        <f t="shared" si="631"/>
        <v/>
      </c>
      <c r="BJ47" s="57" t="str">
        <f t="shared" si="632"/>
        <v/>
      </c>
      <c r="BK47" s="57" t="str">
        <f t="shared" si="633"/>
        <v/>
      </c>
      <c r="BL47" s="57" t="str">
        <f t="shared" si="634"/>
        <v/>
      </c>
      <c r="BM47" s="57" t="str">
        <f t="shared" si="635"/>
        <v/>
      </c>
      <c r="BN47" s="57" t="str">
        <f t="shared" si="636"/>
        <v/>
      </c>
      <c r="BO47" s="57" t="str">
        <f t="shared" si="637"/>
        <v/>
      </c>
      <c r="BP47" s="57" t="str">
        <f t="shared" si="638"/>
        <v/>
      </c>
      <c r="BQ47" s="57" t="str">
        <f t="shared" si="639"/>
        <v/>
      </c>
      <c r="BR47" s="57" t="str">
        <f t="shared" si="640"/>
        <v/>
      </c>
      <c r="BS47" s="57" t="str">
        <f t="shared" si="641"/>
        <v/>
      </c>
      <c r="BT47" s="57" t="str">
        <f t="shared" si="642"/>
        <v/>
      </c>
      <c r="BU47" s="57" t="str">
        <f t="shared" si="643"/>
        <v/>
      </c>
      <c r="BV47" s="57" t="str">
        <f t="shared" si="644"/>
        <v/>
      </c>
      <c r="BW47" s="27"/>
      <c r="BX47" s="47" t="str">
        <f t="shared" ref="BX47:CB47" si="645">BX38</f>
        <v>Squat</v>
      </c>
      <c r="BY47" s="48" t="str">
        <f t="shared" si="645"/>
        <v/>
      </c>
      <c r="BZ47" s="49" t="str">
        <f t="shared" si="645"/>
        <v>Squat pause</v>
      </c>
      <c r="CA47" s="50">
        <f t="shared" si="645"/>
        <v>3</v>
      </c>
      <c r="CB47" s="51">
        <f t="shared" si="645"/>
        <v>5</v>
      </c>
      <c r="CC47" s="112">
        <f>CC38+4</f>
        <v>80</v>
      </c>
      <c r="CD47" s="53">
        <f>IF(BX47="Squat",IF(CC47&gt;10,MROUND((CC47/100*SQMAX),2.5)," "),IF(BX47="Bench",IF(CC47&gt;10,MROUND((CC47/100*BNMAX),2.5)," "),IF(BX47="Deadlift",IF(CC47&gt;10,MROUND((CC47/100*DLMAX),2.5)," ")," ")))</f>
        <v>160</v>
      </c>
      <c r="CE47" s="26"/>
      <c r="CF47" s="54" t="str">
        <f>IFERROR((CD47/VLOOKUP(CE47,'RPE vs. %'!$D$3:$P$11,CB47+1,FALSE)),"")</f>
        <v/>
      </c>
      <c r="CG47" s="55" t="s">
        <v>37</v>
      </c>
      <c r="CH47" s="27"/>
      <c r="CI47" s="57" t="str">
        <f t="shared" si="646"/>
        <v/>
      </c>
      <c r="CJ47" s="57" t="str">
        <f t="shared" si="647"/>
        <v/>
      </c>
      <c r="CK47" s="57" t="str">
        <f t="shared" si="648"/>
        <v/>
      </c>
      <c r="CL47" s="57" t="str">
        <f t="shared" si="649"/>
        <v/>
      </c>
      <c r="CM47" s="57" t="str">
        <f t="shared" si="650"/>
        <v/>
      </c>
      <c r="CN47" s="57" t="str">
        <f t="shared" si="651"/>
        <v/>
      </c>
      <c r="CO47" s="57" t="str">
        <f t="shared" si="652"/>
        <v/>
      </c>
      <c r="CP47" s="57" t="str">
        <f t="shared" si="653"/>
        <v/>
      </c>
      <c r="CQ47" s="57" t="str">
        <f t="shared" si="654"/>
        <v/>
      </c>
      <c r="CR47" s="57" t="str">
        <f t="shared" si="655"/>
        <v/>
      </c>
      <c r="CS47" s="57" t="str">
        <f t="shared" si="656"/>
        <v/>
      </c>
      <c r="CT47" s="57" t="str">
        <f t="shared" si="657"/>
        <v/>
      </c>
      <c r="CU47" s="57" t="str">
        <f t="shared" si="658"/>
        <v/>
      </c>
      <c r="CV47" s="57" t="str">
        <f t="shared" si="659"/>
        <v/>
      </c>
      <c r="CW47" s="57" t="str">
        <f t="shared" si="660"/>
        <v/>
      </c>
      <c r="CX47" s="57" t="str">
        <f t="shared" si="661"/>
        <v/>
      </c>
      <c r="CY47" s="57" t="str">
        <f t="shared" si="662"/>
        <v/>
      </c>
      <c r="CZ47" s="57" t="str">
        <f t="shared" si="663"/>
        <v/>
      </c>
      <c r="DA47" s="57" t="str">
        <f t="shared" si="664"/>
        <v/>
      </c>
      <c r="DB47" s="57" t="str">
        <f t="shared" si="665"/>
        <v/>
      </c>
      <c r="DC47" s="57" t="str">
        <f t="shared" si="666"/>
        <v/>
      </c>
      <c r="DD47" s="57" t="str">
        <f t="shared" si="667"/>
        <v/>
      </c>
      <c r="DE47" s="57" t="str">
        <f t="shared" si="668"/>
        <v/>
      </c>
      <c r="DF47" s="57" t="str">
        <f t="shared" si="669"/>
        <v/>
      </c>
      <c r="DG47" s="27"/>
      <c r="DH47" s="47" t="str">
        <f t="shared" ref="DH47:DL47" si="670">DH38</f>
        <v>Squat</v>
      </c>
      <c r="DI47" s="48" t="str">
        <f t="shared" si="670"/>
        <v/>
      </c>
      <c r="DJ47" s="49" t="str">
        <f t="shared" si="670"/>
        <v>Squat</v>
      </c>
      <c r="DK47" s="50">
        <f t="shared" si="670"/>
        <v>3</v>
      </c>
      <c r="DL47" s="51">
        <f t="shared" si="670"/>
        <v>3</v>
      </c>
      <c r="DM47" s="113">
        <f t="shared" ref="DM47:DM49" si="676">DM38+3</f>
        <v>94</v>
      </c>
      <c r="DN47" s="53">
        <f>IF(DH47="Squat",IF(DM47&gt;10,MROUND((DM47/100*SQMAX),2.5)," "),IF(DH47="Bench",IF(DM47&gt;10,MROUND((DM47/100*BNMAX),2.5)," "),IF(DH47="Deadlift",IF(DM47&gt;10,MROUND((DM47/100*DLMAX),2.5)," ")," ")))</f>
        <v>187.5</v>
      </c>
      <c r="DO47" s="26"/>
      <c r="DP47" s="54" t="str">
        <f>IFERROR((DN47/VLOOKUP(DO47,'RPE vs. %'!$D$3:$P$11,DL47+1,FALSE)),"")</f>
        <v/>
      </c>
      <c r="DQ47" s="55" t="s">
        <v>37</v>
      </c>
      <c r="DR47" s="27"/>
      <c r="DS47" s="27"/>
      <c r="DT47" s="57" t="str">
        <f t="shared" si="547"/>
        <v/>
      </c>
      <c r="DU47" s="57" t="str">
        <f t="shared" si="548"/>
        <v/>
      </c>
      <c r="DV47" s="57" t="str">
        <f t="shared" si="549"/>
        <v/>
      </c>
      <c r="DW47" s="57" t="str">
        <f t="shared" si="550"/>
        <v/>
      </c>
      <c r="DX47" s="57" t="str">
        <f t="shared" si="551"/>
        <v/>
      </c>
      <c r="DY47" s="57" t="str">
        <f t="shared" si="552"/>
        <v/>
      </c>
      <c r="DZ47" s="57" t="str">
        <f t="shared" si="553"/>
        <v/>
      </c>
      <c r="EA47" s="57" t="str">
        <f t="shared" si="554"/>
        <v/>
      </c>
      <c r="EB47" s="57" t="str">
        <f t="shared" si="555"/>
        <v/>
      </c>
      <c r="EC47" s="57" t="str">
        <f t="shared" si="556"/>
        <v/>
      </c>
      <c r="ED47" s="57" t="str">
        <f t="shared" si="557"/>
        <v/>
      </c>
      <c r="EE47" s="57" t="str">
        <f t="shared" si="558"/>
        <v/>
      </c>
      <c r="EF47" s="57" t="str">
        <f t="shared" si="559"/>
        <v/>
      </c>
      <c r="EG47" s="57" t="str">
        <f t="shared" si="560"/>
        <v/>
      </c>
      <c r="EH47" s="57" t="str">
        <f t="shared" si="561"/>
        <v/>
      </c>
      <c r="EI47" s="57" t="str">
        <f t="shared" si="562"/>
        <v/>
      </c>
      <c r="EJ47" s="57" t="str">
        <f t="shared" si="563"/>
        <v/>
      </c>
      <c r="EK47" s="57" t="str">
        <f t="shared" si="564"/>
        <v/>
      </c>
      <c r="EL47" s="57" t="str">
        <f t="shared" si="565"/>
        <v/>
      </c>
      <c r="EM47" s="57" t="str">
        <f t="shared" si="566"/>
        <v/>
      </c>
      <c r="EN47" s="57" t="str">
        <f t="shared" si="567"/>
        <v/>
      </c>
      <c r="EO47" s="57" t="str">
        <f t="shared" si="568"/>
        <v/>
      </c>
      <c r="EP47" s="57" t="str">
        <f t="shared" si="569"/>
        <v/>
      </c>
      <c r="EQ47" s="57" t="str">
        <f t="shared" si="570"/>
        <v/>
      </c>
      <c r="ER47" s="56" t="str">
        <f t="shared" si="571"/>
        <v>#REF!</v>
      </c>
      <c r="ES47" s="56" t="str">
        <f t="shared" si="572"/>
        <v>#REF!</v>
      </c>
      <c r="ET47" s="56" t="str">
        <f t="shared" si="573"/>
        <v>#REF!</v>
      </c>
      <c r="EU47" s="56" t="str">
        <f t="shared" si="574"/>
        <v>#REF!</v>
      </c>
      <c r="EV47" s="56" t="str">
        <f t="shared" si="575"/>
        <v>#REF!</v>
      </c>
      <c r="EW47" s="56" t="str">
        <f t="shared" si="576"/>
        <v>#REF!</v>
      </c>
      <c r="EX47" s="56" t="str">
        <f t="shared" si="577"/>
        <v>#REF!</v>
      </c>
      <c r="EY47" s="56" t="str">
        <f t="shared" si="578"/>
        <v>#REF!</v>
      </c>
      <c r="EZ47" s="56" t="str">
        <f t="shared" si="579"/>
        <v>#REF!</v>
      </c>
      <c r="FA47" s="56" t="str">
        <f t="shared" si="580"/>
        <v>#REF!</v>
      </c>
      <c r="FB47" s="56" t="str">
        <f t="shared" si="581"/>
        <v>#REF!</v>
      </c>
      <c r="FC47" s="56" t="str">
        <f t="shared" si="582"/>
        <v>#REF!</v>
      </c>
      <c r="FD47" s="56" t="str">
        <f t="shared" si="583"/>
        <v>#REF!</v>
      </c>
      <c r="FE47" s="56" t="str">
        <f t="shared" si="584"/>
        <v>#REF!</v>
      </c>
      <c r="FF47" s="56" t="str">
        <f t="shared" si="585"/>
        <v>#REF!</v>
      </c>
      <c r="FG47" s="56" t="str">
        <f t="shared" si="586"/>
        <v>#REF!</v>
      </c>
      <c r="FH47" s="56" t="str">
        <f t="shared" si="587"/>
        <v>#REF!</v>
      </c>
      <c r="FI47" s="56" t="str">
        <f t="shared" si="588"/>
        <v>#REF!</v>
      </c>
      <c r="FJ47" s="56" t="str">
        <f t="shared" si="589"/>
        <v>#REF!</v>
      </c>
      <c r="FK47" s="56" t="str">
        <f t="shared" si="590"/>
        <v>#REF!</v>
      </c>
      <c r="FL47" s="56" t="str">
        <f t="shared" si="591"/>
        <v>#REF!</v>
      </c>
      <c r="FM47" s="56" t="str">
        <f t="shared" si="592"/>
        <v>#REF!</v>
      </c>
      <c r="FN47" s="56" t="str">
        <f t="shared" si="593"/>
        <v>#REF!</v>
      </c>
      <c r="FO47" s="56" t="str">
        <f t="shared" si="594"/>
        <v>#REF!</v>
      </c>
    </row>
    <row r="48">
      <c r="A48" s="27"/>
      <c r="C48" s="46"/>
      <c r="D48" s="47" t="str">
        <f t="shared" ref="D48:H48" si="671">D39</f>
        <v>Squat</v>
      </c>
      <c r="E48" s="48" t="str">
        <f t="shared" si="671"/>
        <v/>
      </c>
      <c r="F48" s="49" t="str">
        <f t="shared" si="671"/>
        <v>Squat</v>
      </c>
      <c r="G48" s="50">
        <f t="shared" si="671"/>
        <v>1</v>
      </c>
      <c r="H48" s="51">
        <f t="shared" si="671"/>
        <v>5</v>
      </c>
      <c r="I48" s="64">
        <f t="shared" ref="I48:I49" si="678">I39+3</f>
        <v>84</v>
      </c>
      <c r="J48" s="53">
        <f>IF(D48="Squat",IF(I48&gt;10,MROUND((I48/100*SQMAX),2.5)," "),IF(D48="Bench",IF(I48&gt;10,MROUND((I48/100*BNMAX),2.5)," "),IF(D48="Deadlift",IF(I48&gt;10,MROUND((I48/100*DLMAX),2.5)," ")," ")))</f>
        <v>167.5</v>
      </c>
      <c r="K48" s="26"/>
      <c r="L48" s="66" t="str">
        <f>IFERROR((J48/VLOOKUP(K48,'RPE vs. %'!$D$3:$P$11,H48+1,FALSE)),"")</f>
        <v/>
      </c>
      <c r="M48" s="67"/>
      <c r="N48" s="27"/>
      <c r="O48" s="57" t="str">
        <f t="shared" si="596"/>
        <v/>
      </c>
      <c r="P48" s="57" t="str">
        <f t="shared" si="597"/>
        <v/>
      </c>
      <c r="Q48" s="57" t="str">
        <f t="shared" si="598"/>
        <v/>
      </c>
      <c r="R48" s="57" t="str">
        <f t="shared" si="599"/>
        <v/>
      </c>
      <c r="S48" s="57" t="str">
        <f t="shared" si="600"/>
        <v/>
      </c>
      <c r="T48" s="57" t="str">
        <f t="shared" si="601"/>
        <v/>
      </c>
      <c r="U48" s="57" t="str">
        <f t="shared" si="602"/>
        <v/>
      </c>
      <c r="V48" s="57" t="str">
        <f t="shared" si="603"/>
        <v/>
      </c>
      <c r="W48" s="57" t="str">
        <f t="shared" si="604"/>
        <v/>
      </c>
      <c r="X48" s="57" t="str">
        <f t="shared" si="605"/>
        <v/>
      </c>
      <c r="Y48" s="57" t="str">
        <f t="shared" si="606"/>
        <v/>
      </c>
      <c r="Z48" s="57" t="str">
        <f t="shared" si="607"/>
        <v/>
      </c>
      <c r="AA48" s="57" t="str">
        <f t="shared" si="608"/>
        <v/>
      </c>
      <c r="AB48" s="57" t="str">
        <f t="shared" si="609"/>
        <v/>
      </c>
      <c r="AC48" s="57" t="str">
        <f t="shared" si="610"/>
        <v/>
      </c>
      <c r="AD48" s="57" t="str">
        <f t="shared" si="611"/>
        <v/>
      </c>
      <c r="AE48" s="57" t="str">
        <f t="shared" si="612"/>
        <v/>
      </c>
      <c r="AF48" s="57" t="str">
        <f t="shared" si="613"/>
        <v/>
      </c>
      <c r="AG48" s="57" t="str">
        <f t="shared" si="614"/>
        <v/>
      </c>
      <c r="AH48" s="57" t="str">
        <f t="shared" si="615"/>
        <v/>
      </c>
      <c r="AI48" s="57" t="str">
        <f t="shared" si="616"/>
        <v/>
      </c>
      <c r="AJ48" s="57" t="str">
        <f t="shared" si="617"/>
        <v/>
      </c>
      <c r="AK48" s="57" t="str">
        <f t="shared" si="618"/>
        <v/>
      </c>
      <c r="AL48" s="57" t="str">
        <f t="shared" si="619"/>
        <v/>
      </c>
      <c r="AM48" s="27"/>
      <c r="AN48" s="58" t="str">
        <f t="shared" ref="AN48:AR48" si="672">AN39</f>
        <v>Deadlift</v>
      </c>
      <c r="AO48" s="59" t="str">
        <f t="shared" si="672"/>
        <v/>
      </c>
      <c r="AP48" s="60" t="str">
        <f t="shared" si="672"/>
        <v>Deadlift pause</v>
      </c>
      <c r="AQ48" s="61">
        <f t="shared" si="672"/>
        <v>2</v>
      </c>
      <c r="AR48" s="62">
        <f t="shared" si="672"/>
        <v>5</v>
      </c>
      <c r="AS48" s="111">
        <f t="shared" si="673"/>
        <v>72</v>
      </c>
      <c r="AT48" s="32">
        <f>IF(AN48="Squat",IF(AS48&gt;10,MROUND((AS48/100*SQMAX),2.5)," "),IF(AN48="Bench",IF(AS48&gt;10,MROUND((AS48/100*BNMAX),2.5)," "),IF(AN48="Deadlift",IF(AS48&gt;10,MROUND((AS48/100*DLMAX),2.5)," ")," ")))</f>
        <v>180</v>
      </c>
      <c r="AU48" s="26"/>
      <c r="AV48" s="66" t="str">
        <f>IFERROR((AT48/VLOOKUP(AU48,'RPE vs. %'!$D$3:$P$11,AR48+1,FALSE)),"")</f>
        <v/>
      </c>
      <c r="AW48" s="67"/>
      <c r="AX48" s="27"/>
      <c r="AY48" s="57" t="str">
        <f t="shared" si="621"/>
        <v/>
      </c>
      <c r="AZ48" s="57" t="str">
        <f t="shared" si="622"/>
        <v/>
      </c>
      <c r="BA48" s="57" t="str">
        <f t="shared" si="623"/>
        <v/>
      </c>
      <c r="BB48" s="57" t="str">
        <f t="shared" si="624"/>
        <v/>
      </c>
      <c r="BC48" s="57" t="str">
        <f t="shared" si="625"/>
        <v/>
      </c>
      <c r="BD48" s="57" t="str">
        <f t="shared" si="626"/>
        <v/>
      </c>
      <c r="BE48" s="57" t="str">
        <f t="shared" si="627"/>
        <v/>
      </c>
      <c r="BF48" s="57" t="str">
        <f t="shared" si="628"/>
        <v/>
      </c>
      <c r="BG48" s="57" t="str">
        <f t="shared" si="629"/>
        <v/>
      </c>
      <c r="BH48" s="57" t="str">
        <f t="shared" si="630"/>
        <v/>
      </c>
      <c r="BI48" s="57" t="str">
        <f t="shared" si="631"/>
        <v/>
      </c>
      <c r="BJ48" s="57" t="str">
        <f t="shared" si="632"/>
        <v/>
      </c>
      <c r="BK48" s="57" t="str">
        <f t="shared" si="633"/>
        <v/>
      </c>
      <c r="BL48" s="57" t="str">
        <f t="shared" si="634"/>
        <v/>
      </c>
      <c r="BM48" s="57" t="str">
        <f t="shared" si="635"/>
        <v/>
      </c>
      <c r="BN48" s="57" t="str">
        <f t="shared" si="636"/>
        <v/>
      </c>
      <c r="BO48" s="57" t="str">
        <f t="shared" si="637"/>
        <v/>
      </c>
      <c r="BP48" s="57" t="str">
        <f t="shared" si="638"/>
        <v/>
      </c>
      <c r="BQ48" s="57" t="str">
        <f t="shared" si="639"/>
        <v/>
      </c>
      <c r="BR48" s="57" t="str">
        <f t="shared" si="640"/>
        <v/>
      </c>
      <c r="BS48" s="57" t="str">
        <f t="shared" si="641"/>
        <v/>
      </c>
      <c r="BT48" s="57" t="str">
        <f t="shared" si="642"/>
        <v/>
      </c>
      <c r="BU48" s="57" t="str">
        <f t="shared" si="643"/>
        <v/>
      </c>
      <c r="BV48" s="57" t="str">
        <f t="shared" si="644"/>
        <v/>
      </c>
      <c r="BW48" s="27"/>
      <c r="BX48" s="69" t="str">
        <f t="shared" ref="BX48:CB48" si="674">BX39</f>
        <v>Bench</v>
      </c>
      <c r="BY48" s="70" t="str">
        <f t="shared" si="674"/>
        <v/>
      </c>
      <c r="BZ48" s="71" t="str">
        <f t="shared" si="674"/>
        <v>Bench</v>
      </c>
      <c r="CA48" s="72">
        <f t="shared" si="674"/>
        <v>4</v>
      </c>
      <c r="CB48" s="73">
        <f t="shared" si="674"/>
        <v>2</v>
      </c>
      <c r="CC48" s="126">
        <v>99.0</v>
      </c>
      <c r="CD48" s="75">
        <f>IF(BX48="Squat",IF(CC48&gt;10,MROUND((CC48/100*SQMAX),2.5)," "),IF(BX48="Bench",IF(CC48&gt;10,MROUND((CC48/100*BNMAX),2.5)," "),IF(BX48="Deadlift",IF(CC48&gt;10,MROUND((CC48/100*DLMAX),2.5)," ")," ")))</f>
        <v>137.5</v>
      </c>
      <c r="CE48" s="26"/>
      <c r="CF48" s="66" t="str">
        <f>IFERROR((CD48/VLOOKUP(CE48,'RPE vs. %'!$D$3:$P$11,CB48+1,FALSE)),"")</f>
        <v/>
      </c>
      <c r="CG48" s="67"/>
      <c r="CH48" s="27"/>
      <c r="CI48" s="57" t="str">
        <f t="shared" si="646"/>
        <v/>
      </c>
      <c r="CJ48" s="57" t="str">
        <f t="shared" si="647"/>
        <v/>
      </c>
      <c r="CK48" s="57" t="str">
        <f t="shared" si="648"/>
        <v/>
      </c>
      <c r="CL48" s="57" t="str">
        <f t="shared" si="649"/>
        <v/>
      </c>
      <c r="CM48" s="57" t="str">
        <f t="shared" si="650"/>
        <v/>
      </c>
      <c r="CN48" s="57" t="str">
        <f t="shared" si="651"/>
        <v/>
      </c>
      <c r="CO48" s="57" t="str">
        <f t="shared" si="652"/>
        <v/>
      </c>
      <c r="CP48" s="57" t="str">
        <f t="shared" si="653"/>
        <v/>
      </c>
      <c r="CQ48" s="57" t="str">
        <f t="shared" si="654"/>
        <v/>
      </c>
      <c r="CR48" s="57" t="str">
        <f t="shared" si="655"/>
        <v/>
      </c>
      <c r="CS48" s="57" t="str">
        <f t="shared" si="656"/>
        <v/>
      </c>
      <c r="CT48" s="57" t="str">
        <f t="shared" si="657"/>
        <v/>
      </c>
      <c r="CU48" s="57" t="str">
        <f t="shared" si="658"/>
        <v/>
      </c>
      <c r="CV48" s="57" t="str">
        <f t="shared" si="659"/>
        <v/>
      </c>
      <c r="CW48" s="57" t="str">
        <f t="shared" si="660"/>
        <v/>
      </c>
      <c r="CX48" s="57" t="str">
        <f t="shared" si="661"/>
        <v/>
      </c>
      <c r="CY48" s="57" t="str">
        <f t="shared" si="662"/>
        <v/>
      </c>
      <c r="CZ48" s="57" t="str">
        <f t="shared" si="663"/>
        <v/>
      </c>
      <c r="DA48" s="57" t="str">
        <f t="shared" si="664"/>
        <v/>
      </c>
      <c r="DB48" s="57" t="str">
        <f t="shared" si="665"/>
        <v/>
      </c>
      <c r="DC48" s="57" t="str">
        <f t="shared" si="666"/>
        <v/>
      </c>
      <c r="DD48" s="57" t="str">
        <f t="shared" si="667"/>
        <v/>
      </c>
      <c r="DE48" s="57" t="str">
        <f t="shared" si="668"/>
        <v/>
      </c>
      <c r="DF48" s="57" t="str">
        <f t="shared" si="669"/>
        <v/>
      </c>
      <c r="DG48" s="27"/>
      <c r="DH48" s="69" t="str">
        <f t="shared" ref="DH48:DL48" si="675">DH39</f>
        <v>Bench</v>
      </c>
      <c r="DI48" s="70" t="str">
        <f t="shared" si="675"/>
        <v/>
      </c>
      <c r="DJ48" s="71" t="str">
        <f t="shared" si="675"/>
        <v>Bench</v>
      </c>
      <c r="DK48" s="72">
        <f t="shared" si="675"/>
        <v>3</v>
      </c>
      <c r="DL48" s="73">
        <f t="shared" si="675"/>
        <v>3</v>
      </c>
      <c r="DM48" s="115">
        <f t="shared" si="676"/>
        <v>94</v>
      </c>
      <c r="DN48" s="75">
        <f>IF(DH48="Squat",IF(DM48&gt;10,MROUND((DM48/100*SQMAX),2.5)," "),IF(DH48="Bench",IF(DM48&gt;10,MROUND((DM48/100*BNMAX),2.5)," "),IF(DH48="Deadlift",IF(DM48&gt;10,MROUND((DM48/100*DLMAX),2.5)," ")," ")))</f>
        <v>132.5</v>
      </c>
      <c r="DO48" s="26"/>
      <c r="DP48" s="66" t="str">
        <f>IFERROR((DN48/VLOOKUP(DO48,'RPE vs. %'!$D$3:$P$11,DL48+1,FALSE)),"")</f>
        <v/>
      </c>
      <c r="DQ48" s="67"/>
      <c r="DR48" s="27"/>
      <c r="DS48" s="27"/>
      <c r="DT48" s="57" t="str">
        <f t="shared" si="547"/>
        <v/>
      </c>
      <c r="DU48" s="57" t="str">
        <f t="shared" si="548"/>
        <v/>
      </c>
      <c r="DV48" s="57" t="str">
        <f t="shared" si="549"/>
        <v/>
      </c>
      <c r="DW48" s="57" t="str">
        <f t="shared" si="550"/>
        <v/>
      </c>
      <c r="DX48" s="57" t="str">
        <f t="shared" si="551"/>
        <v/>
      </c>
      <c r="DY48" s="57" t="str">
        <f t="shared" si="552"/>
        <v/>
      </c>
      <c r="DZ48" s="57" t="str">
        <f t="shared" si="553"/>
        <v/>
      </c>
      <c r="EA48" s="57" t="str">
        <f t="shared" si="554"/>
        <v/>
      </c>
      <c r="EB48" s="57" t="str">
        <f t="shared" si="555"/>
        <v/>
      </c>
      <c r="EC48" s="57" t="str">
        <f t="shared" si="556"/>
        <v/>
      </c>
      <c r="ED48" s="57" t="str">
        <f t="shared" si="557"/>
        <v/>
      </c>
      <c r="EE48" s="57" t="str">
        <f t="shared" si="558"/>
        <v/>
      </c>
      <c r="EF48" s="57" t="str">
        <f t="shared" si="559"/>
        <v/>
      </c>
      <c r="EG48" s="57" t="str">
        <f t="shared" si="560"/>
        <v/>
      </c>
      <c r="EH48" s="57" t="str">
        <f t="shared" si="561"/>
        <v/>
      </c>
      <c r="EI48" s="57" t="str">
        <f t="shared" si="562"/>
        <v/>
      </c>
      <c r="EJ48" s="57" t="str">
        <f t="shared" si="563"/>
        <v/>
      </c>
      <c r="EK48" s="57" t="str">
        <f t="shared" si="564"/>
        <v/>
      </c>
      <c r="EL48" s="57" t="str">
        <f t="shared" si="565"/>
        <v/>
      </c>
      <c r="EM48" s="57" t="str">
        <f t="shared" si="566"/>
        <v/>
      </c>
      <c r="EN48" s="57" t="str">
        <f t="shared" si="567"/>
        <v/>
      </c>
      <c r="EO48" s="57" t="str">
        <f t="shared" si="568"/>
        <v/>
      </c>
      <c r="EP48" s="57" t="str">
        <f t="shared" si="569"/>
        <v/>
      </c>
      <c r="EQ48" s="57" t="str">
        <f t="shared" si="570"/>
        <v/>
      </c>
      <c r="ER48" s="56" t="str">
        <f t="shared" si="571"/>
        <v>#REF!</v>
      </c>
      <c r="ES48" s="56" t="str">
        <f t="shared" si="572"/>
        <v>#REF!</v>
      </c>
      <c r="ET48" s="56" t="str">
        <f t="shared" si="573"/>
        <v>#REF!</v>
      </c>
      <c r="EU48" s="56" t="str">
        <f t="shared" si="574"/>
        <v>#REF!</v>
      </c>
      <c r="EV48" s="56" t="str">
        <f t="shared" si="575"/>
        <v>#REF!</v>
      </c>
      <c r="EW48" s="56" t="str">
        <f t="shared" si="576"/>
        <v>#REF!</v>
      </c>
      <c r="EX48" s="56" t="str">
        <f t="shared" si="577"/>
        <v>#REF!</v>
      </c>
      <c r="EY48" s="56" t="str">
        <f t="shared" si="578"/>
        <v>#REF!</v>
      </c>
      <c r="EZ48" s="56" t="str">
        <f t="shared" si="579"/>
        <v>#REF!</v>
      </c>
      <c r="FA48" s="56" t="str">
        <f t="shared" si="580"/>
        <v>#REF!</v>
      </c>
      <c r="FB48" s="56" t="str">
        <f t="shared" si="581"/>
        <v>#REF!</v>
      </c>
      <c r="FC48" s="56" t="str">
        <f t="shared" si="582"/>
        <v>#REF!</v>
      </c>
      <c r="FD48" s="56" t="str">
        <f t="shared" si="583"/>
        <v>#REF!</v>
      </c>
      <c r="FE48" s="56" t="str">
        <f t="shared" si="584"/>
        <v>#REF!</v>
      </c>
      <c r="FF48" s="56" t="str">
        <f t="shared" si="585"/>
        <v>#REF!</v>
      </c>
      <c r="FG48" s="56" t="str">
        <f t="shared" si="586"/>
        <v>#REF!</v>
      </c>
      <c r="FH48" s="56" t="str">
        <f t="shared" si="587"/>
        <v>#REF!</v>
      </c>
      <c r="FI48" s="56" t="str">
        <f t="shared" si="588"/>
        <v>#REF!</v>
      </c>
      <c r="FJ48" s="56" t="str">
        <f t="shared" si="589"/>
        <v>#REF!</v>
      </c>
      <c r="FK48" s="56" t="str">
        <f t="shared" si="590"/>
        <v>#REF!</v>
      </c>
      <c r="FL48" s="56" t="str">
        <f t="shared" si="591"/>
        <v>#REF!</v>
      </c>
      <c r="FM48" s="56" t="str">
        <f t="shared" si="592"/>
        <v>#REF!</v>
      </c>
      <c r="FN48" s="56" t="str">
        <f t="shared" si="593"/>
        <v>#REF!</v>
      </c>
      <c r="FO48" s="56" t="str">
        <f t="shared" si="594"/>
        <v>#REF!</v>
      </c>
    </row>
    <row r="49">
      <c r="A49" s="27"/>
      <c r="C49" s="46"/>
      <c r="D49" s="69" t="str">
        <f t="shared" ref="D49:H49" si="677">D40</f>
        <v>Bench</v>
      </c>
      <c r="E49" s="70" t="str">
        <f t="shared" si="677"/>
        <v/>
      </c>
      <c r="F49" s="71" t="str">
        <f t="shared" si="677"/>
        <v>Bench </v>
      </c>
      <c r="G49" s="72">
        <f t="shared" si="677"/>
        <v>3</v>
      </c>
      <c r="H49" s="73">
        <f t="shared" si="677"/>
        <v>8</v>
      </c>
      <c r="I49" s="74">
        <f t="shared" si="678"/>
        <v>82</v>
      </c>
      <c r="J49" s="75">
        <f>IF(D49="Squat",IF(I49&gt;10,MROUND((I49/100*SQMAX),2.5)," "),IF(D49="Bench",IF(I49&gt;10,MROUND((I49/100*BNMAX),2.5)," "),IF(D49="Deadlift",IF(I49&gt;10,MROUND((I49/100*DLMAX),2.5)," ")," ")))</f>
        <v>115</v>
      </c>
      <c r="K49" s="26"/>
      <c r="L49" s="66" t="str">
        <f>IFERROR((J49/VLOOKUP(K49,'RPE vs. %'!$D$3:$P$11,H49+1,FALSE)),"")</f>
        <v/>
      </c>
      <c r="M49" s="67"/>
      <c r="N49" s="27"/>
      <c r="O49" s="91">
        <f t="shared" ref="O49:AL49" si="679">SUM(O42:O48)</f>
        <v>3</v>
      </c>
      <c r="P49" s="91">
        <f t="shared" si="679"/>
        <v>2337.5</v>
      </c>
      <c r="Q49" s="91">
        <f t="shared" si="679"/>
        <v>0</v>
      </c>
      <c r="R49" s="91">
        <f t="shared" si="679"/>
        <v>0</v>
      </c>
      <c r="S49" s="91">
        <f t="shared" si="679"/>
        <v>0</v>
      </c>
      <c r="T49" s="91">
        <f t="shared" si="679"/>
        <v>0</v>
      </c>
      <c r="U49" s="91">
        <f t="shared" si="679"/>
        <v>0</v>
      </c>
      <c r="V49" s="91">
        <f t="shared" si="679"/>
        <v>0</v>
      </c>
      <c r="W49" s="91">
        <f t="shared" si="679"/>
        <v>0</v>
      </c>
      <c r="X49" s="91">
        <f t="shared" si="679"/>
        <v>0</v>
      </c>
      <c r="Y49" s="91">
        <f t="shared" si="679"/>
        <v>0</v>
      </c>
      <c r="Z49" s="91">
        <f t="shared" si="679"/>
        <v>0</v>
      </c>
      <c r="AA49" s="91">
        <f t="shared" si="679"/>
        <v>0</v>
      </c>
      <c r="AB49" s="91">
        <f t="shared" si="679"/>
        <v>0</v>
      </c>
      <c r="AC49" s="91">
        <f t="shared" si="679"/>
        <v>0</v>
      </c>
      <c r="AD49" s="91">
        <f t="shared" si="679"/>
        <v>0</v>
      </c>
      <c r="AE49" s="91">
        <f t="shared" si="679"/>
        <v>0</v>
      </c>
      <c r="AF49" s="91">
        <f t="shared" si="679"/>
        <v>0</v>
      </c>
      <c r="AG49" s="91">
        <f t="shared" si="679"/>
        <v>0</v>
      </c>
      <c r="AH49" s="91">
        <f t="shared" si="679"/>
        <v>0</v>
      </c>
      <c r="AI49" s="91">
        <f t="shared" si="679"/>
        <v>0</v>
      </c>
      <c r="AJ49" s="91">
        <f t="shared" si="679"/>
        <v>0</v>
      </c>
      <c r="AK49" s="91">
        <f t="shared" si="679"/>
        <v>0</v>
      </c>
      <c r="AL49" s="91">
        <f t="shared" si="679"/>
        <v>0</v>
      </c>
      <c r="AM49" s="27"/>
      <c r="AN49" s="69" t="str">
        <f t="shared" ref="AN49:AR49" si="680">AN40</f>
        <v>Bench</v>
      </c>
      <c r="AO49" s="70" t="str">
        <f t="shared" si="680"/>
        <v/>
      </c>
      <c r="AP49" s="71" t="str">
        <f t="shared" si="680"/>
        <v>Bench larsen</v>
      </c>
      <c r="AQ49" s="72">
        <f t="shared" si="680"/>
        <v>3</v>
      </c>
      <c r="AR49" s="73">
        <f t="shared" si="680"/>
        <v>5</v>
      </c>
      <c r="AS49" s="114">
        <f t="shared" si="673"/>
        <v>76</v>
      </c>
      <c r="AT49" s="75">
        <f>IF(AN49="Squat",IF(AS49&gt;10,MROUND((AS49/100*SQMAX),2.5)," "),IF(AN49="Bench",IF(AS49&gt;10,MROUND((AS49/100*BNMAX),2.5)," "),IF(AN49="Deadlift",IF(AS49&gt;10,MROUND((AS49/100*DLMAX),2.5)," ")," ")))</f>
        <v>107.5</v>
      </c>
      <c r="AU49" s="26"/>
      <c r="AV49" s="66" t="str">
        <f>IFERROR((AT49/VLOOKUP(AU49,'RPE vs. %'!$D$3:$P$11,AR49+1,FALSE)),"")</f>
        <v/>
      </c>
      <c r="AW49" s="67"/>
      <c r="AX49" s="27"/>
      <c r="AY49" s="91">
        <f t="shared" ref="AY49:BV49" si="681">SUM(AY42:AY48)</f>
        <v>0</v>
      </c>
      <c r="AZ49" s="91">
        <f t="shared" si="681"/>
        <v>0</v>
      </c>
      <c r="BA49" s="91">
        <f t="shared" si="681"/>
        <v>0</v>
      </c>
      <c r="BB49" s="91">
        <f t="shared" si="681"/>
        <v>0</v>
      </c>
      <c r="BC49" s="91">
        <f t="shared" si="681"/>
        <v>5</v>
      </c>
      <c r="BD49" s="91">
        <f t="shared" si="681"/>
        <v>3727.5</v>
      </c>
      <c r="BE49" s="91">
        <f t="shared" si="681"/>
        <v>0</v>
      </c>
      <c r="BF49" s="91">
        <f t="shared" si="681"/>
        <v>0</v>
      </c>
      <c r="BG49" s="91">
        <f t="shared" si="681"/>
        <v>0</v>
      </c>
      <c r="BH49" s="91">
        <f t="shared" si="681"/>
        <v>0</v>
      </c>
      <c r="BI49" s="91">
        <f t="shared" si="681"/>
        <v>0</v>
      </c>
      <c r="BJ49" s="91">
        <f t="shared" si="681"/>
        <v>0</v>
      </c>
      <c r="BK49" s="91">
        <f t="shared" si="681"/>
        <v>0</v>
      </c>
      <c r="BL49" s="91">
        <f t="shared" si="681"/>
        <v>0</v>
      </c>
      <c r="BM49" s="91">
        <f t="shared" si="681"/>
        <v>0</v>
      </c>
      <c r="BN49" s="91">
        <f t="shared" si="681"/>
        <v>0</v>
      </c>
      <c r="BO49" s="91">
        <f t="shared" si="681"/>
        <v>0</v>
      </c>
      <c r="BP49" s="91">
        <f t="shared" si="681"/>
        <v>0</v>
      </c>
      <c r="BQ49" s="91">
        <f t="shared" si="681"/>
        <v>0</v>
      </c>
      <c r="BR49" s="91">
        <f t="shared" si="681"/>
        <v>0</v>
      </c>
      <c r="BS49" s="91">
        <f t="shared" si="681"/>
        <v>0</v>
      </c>
      <c r="BT49" s="91">
        <f t="shared" si="681"/>
        <v>0</v>
      </c>
      <c r="BU49" s="91">
        <f t="shared" si="681"/>
        <v>0</v>
      </c>
      <c r="BV49" s="91">
        <f t="shared" si="681"/>
        <v>0</v>
      </c>
      <c r="BW49" s="27"/>
      <c r="BX49" s="69" t="str">
        <f t="shared" ref="BX49:CB49" si="682">BX40</f>
        <v>Bench</v>
      </c>
      <c r="BY49" s="70" t="str">
        <f t="shared" si="682"/>
        <v/>
      </c>
      <c r="BZ49" s="71" t="str">
        <f t="shared" si="682"/>
        <v>bench fatigued single </v>
      </c>
      <c r="CA49" s="72">
        <f t="shared" si="682"/>
        <v>2</v>
      </c>
      <c r="CB49" s="73">
        <f t="shared" si="682"/>
        <v>1</v>
      </c>
      <c r="CC49" s="114">
        <f>CC40+3</f>
        <v>107</v>
      </c>
      <c r="CD49" s="75">
        <f>IF(BX49="Squat",IF(CC49&gt;10,MROUND((CC49/100*SQMAX),2.5)," "),IF(BX49="Bench",IF(CC49&gt;10,MROUND((CC49/100*BNMAX),2.5)," "),IF(BX49="Deadlift",IF(CC49&gt;10,MROUND((CC49/100*DLMAX),2.5)," ")," ")))</f>
        <v>150</v>
      </c>
      <c r="CE49" s="26"/>
      <c r="CF49" s="66" t="str">
        <f>IFERROR((CD49/VLOOKUP(CE49,'RPE vs. %'!$D$3:$P$11,CB49+1,FALSE)),"")</f>
        <v/>
      </c>
      <c r="CG49" s="67"/>
      <c r="CH49" s="27"/>
      <c r="CI49" s="91">
        <f t="shared" ref="CI49:DF49" si="683">SUM(CI42:CI48)</f>
        <v>3</v>
      </c>
      <c r="CJ49" s="91">
        <f t="shared" si="683"/>
        <v>2287.5</v>
      </c>
      <c r="CK49" s="91">
        <f t="shared" si="683"/>
        <v>4</v>
      </c>
      <c r="CL49" s="91">
        <f t="shared" si="683"/>
        <v>1080</v>
      </c>
      <c r="CM49" s="91">
        <f t="shared" si="683"/>
        <v>0</v>
      </c>
      <c r="CN49" s="91">
        <f t="shared" si="683"/>
        <v>0</v>
      </c>
      <c r="CO49" s="91">
        <f t="shared" si="683"/>
        <v>0</v>
      </c>
      <c r="CP49" s="91">
        <f t="shared" si="683"/>
        <v>0</v>
      </c>
      <c r="CQ49" s="91">
        <f t="shared" si="683"/>
        <v>0</v>
      </c>
      <c r="CR49" s="91">
        <f t="shared" si="683"/>
        <v>0</v>
      </c>
      <c r="CS49" s="91">
        <f t="shared" si="683"/>
        <v>0</v>
      </c>
      <c r="CT49" s="91">
        <f t="shared" si="683"/>
        <v>0</v>
      </c>
      <c r="CU49" s="91">
        <f t="shared" si="683"/>
        <v>0</v>
      </c>
      <c r="CV49" s="91">
        <f t="shared" si="683"/>
        <v>0</v>
      </c>
      <c r="CW49" s="91">
        <f t="shared" si="683"/>
        <v>0</v>
      </c>
      <c r="CX49" s="91">
        <f t="shared" si="683"/>
        <v>0</v>
      </c>
      <c r="CY49" s="91">
        <f t="shared" si="683"/>
        <v>0</v>
      </c>
      <c r="CZ49" s="91">
        <f t="shared" si="683"/>
        <v>0</v>
      </c>
      <c r="DA49" s="91">
        <f t="shared" si="683"/>
        <v>0</v>
      </c>
      <c r="DB49" s="91">
        <f t="shared" si="683"/>
        <v>0</v>
      </c>
      <c r="DC49" s="91">
        <f t="shared" si="683"/>
        <v>0</v>
      </c>
      <c r="DD49" s="91">
        <f t="shared" si="683"/>
        <v>0</v>
      </c>
      <c r="DE49" s="91">
        <f t="shared" si="683"/>
        <v>0</v>
      </c>
      <c r="DF49" s="91">
        <f t="shared" si="683"/>
        <v>0</v>
      </c>
      <c r="DG49" s="27"/>
      <c r="DH49" s="58" t="str">
        <f t="shared" ref="DH49:DL49" si="684">DH40</f>
        <v>Deadlift</v>
      </c>
      <c r="DI49" s="59" t="str">
        <f t="shared" si="684"/>
        <v/>
      </c>
      <c r="DJ49" s="60" t="str">
        <f t="shared" si="684"/>
        <v>Deadlift</v>
      </c>
      <c r="DK49" s="61">
        <f t="shared" si="684"/>
        <v>3</v>
      </c>
      <c r="DL49" s="62">
        <f t="shared" si="684"/>
        <v>3</v>
      </c>
      <c r="DM49" s="116">
        <f t="shared" si="676"/>
        <v>94</v>
      </c>
      <c r="DN49" s="32">
        <f>IF(DH49="Squat",IF(DM49&gt;10,MROUND((DM49/100*SQMAX),2.5)," "),IF(DH49="Bench",IF(DM49&gt;10,MROUND((DM49/100*BNMAX),2.5)," "),IF(DH49="Deadlift",IF(DM49&gt;10,MROUND((DM49/100*DLMAX),2.5)," ")," ")))</f>
        <v>235</v>
      </c>
      <c r="DO49" s="26"/>
      <c r="DP49" s="66" t="str">
        <f>IFERROR((DN49/VLOOKUP(DO49,'RPE vs. %'!$D$3:$P$11,DL49+1,FALSE)),"")</f>
        <v/>
      </c>
      <c r="DQ49" s="67"/>
      <c r="DR49" s="27"/>
      <c r="DS49" s="27"/>
      <c r="DT49" s="57" t="str">
        <f t="shared" si="547"/>
        <v/>
      </c>
      <c r="DU49" s="57" t="str">
        <f t="shared" si="548"/>
        <v/>
      </c>
      <c r="DV49" s="57" t="str">
        <f t="shared" si="549"/>
        <v/>
      </c>
      <c r="DW49" s="57" t="str">
        <f t="shared" si="550"/>
        <v/>
      </c>
      <c r="DX49" s="57" t="str">
        <f t="shared" si="551"/>
        <v/>
      </c>
      <c r="DY49" s="57" t="str">
        <f t="shared" si="552"/>
        <v/>
      </c>
      <c r="DZ49" s="57" t="str">
        <f t="shared" si="553"/>
        <v/>
      </c>
      <c r="EA49" s="57" t="str">
        <f t="shared" si="554"/>
        <v/>
      </c>
      <c r="EB49" s="57" t="str">
        <f t="shared" si="555"/>
        <v/>
      </c>
      <c r="EC49" s="57" t="str">
        <f t="shared" si="556"/>
        <v/>
      </c>
      <c r="ED49" s="57" t="str">
        <f t="shared" si="557"/>
        <v/>
      </c>
      <c r="EE49" s="57" t="str">
        <f t="shared" si="558"/>
        <v/>
      </c>
      <c r="EF49" s="57" t="str">
        <f t="shared" si="559"/>
        <v/>
      </c>
      <c r="EG49" s="57" t="str">
        <f t="shared" si="560"/>
        <v/>
      </c>
      <c r="EH49" s="57" t="str">
        <f t="shared" si="561"/>
        <v/>
      </c>
      <c r="EI49" s="57" t="str">
        <f t="shared" si="562"/>
        <v/>
      </c>
      <c r="EJ49" s="57" t="str">
        <f t="shared" si="563"/>
        <v/>
      </c>
      <c r="EK49" s="57" t="str">
        <f t="shared" si="564"/>
        <v/>
      </c>
      <c r="EL49" s="57" t="str">
        <f t="shared" si="565"/>
        <v/>
      </c>
      <c r="EM49" s="57" t="str">
        <f t="shared" si="566"/>
        <v/>
      </c>
      <c r="EN49" s="57" t="str">
        <f t="shared" si="567"/>
        <v/>
      </c>
      <c r="EO49" s="57" t="str">
        <f t="shared" si="568"/>
        <v/>
      </c>
      <c r="EP49" s="57" t="str">
        <f t="shared" si="569"/>
        <v/>
      </c>
      <c r="EQ49" s="57" t="str">
        <f t="shared" si="570"/>
        <v/>
      </c>
      <c r="ER49" s="56" t="str">
        <f t="shared" si="571"/>
        <v>#REF!</v>
      </c>
      <c r="ES49" s="56" t="str">
        <f t="shared" si="572"/>
        <v>#REF!</v>
      </c>
      <c r="ET49" s="56" t="str">
        <f t="shared" si="573"/>
        <v>#REF!</v>
      </c>
      <c r="EU49" s="56" t="str">
        <f t="shared" si="574"/>
        <v>#REF!</v>
      </c>
      <c r="EV49" s="56" t="str">
        <f t="shared" si="575"/>
        <v>#REF!</v>
      </c>
      <c r="EW49" s="56" t="str">
        <f t="shared" si="576"/>
        <v>#REF!</v>
      </c>
      <c r="EX49" s="56" t="str">
        <f t="shared" si="577"/>
        <v>#REF!</v>
      </c>
      <c r="EY49" s="56" t="str">
        <f t="shared" si="578"/>
        <v>#REF!</v>
      </c>
      <c r="EZ49" s="56" t="str">
        <f t="shared" si="579"/>
        <v>#REF!</v>
      </c>
      <c r="FA49" s="56" t="str">
        <f t="shared" si="580"/>
        <v>#REF!</v>
      </c>
      <c r="FB49" s="56" t="str">
        <f t="shared" si="581"/>
        <v>#REF!</v>
      </c>
      <c r="FC49" s="56" t="str">
        <f t="shared" si="582"/>
        <v>#REF!</v>
      </c>
      <c r="FD49" s="56" t="str">
        <f t="shared" si="583"/>
        <v>#REF!</v>
      </c>
      <c r="FE49" s="56" t="str">
        <f t="shared" si="584"/>
        <v>#REF!</v>
      </c>
      <c r="FF49" s="56" t="str">
        <f t="shared" si="585"/>
        <v>#REF!</v>
      </c>
      <c r="FG49" s="56" t="str">
        <f t="shared" si="586"/>
        <v>#REF!</v>
      </c>
      <c r="FH49" s="56" t="str">
        <f t="shared" si="587"/>
        <v>#REF!</v>
      </c>
      <c r="FI49" s="56" t="str">
        <f t="shared" si="588"/>
        <v>#REF!</v>
      </c>
      <c r="FJ49" s="56" t="str">
        <f t="shared" si="589"/>
        <v>#REF!</v>
      </c>
      <c r="FK49" s="56" t="str">
        <f t="shared" si="590"/>
        <v>#REF!</v>
      </c>
      <c r="FL49" s="56" t="str">
        <f t="shared" si="591"/>
        <v>#REF!</v>
      </c>
      <c r="FM49" s="56" t="str">
        <f t="shared" si="592"/>
        <v>#REF!</v>
      </c>
      <c r="FN49" s="56" t="str">
        <f t="shared" si="593"/>
        <v>#REF!</v>
      </c>
      <c r="FO49" s="56" t="str">
        <f t="shared" si="594"/>
        <v>#REF!</v>
      </c>
    </row>
    <row r="50">
      <c r="A50" s="27"/>
      <c r="C50" s="46"/>
      <c r="D50" s="78" t="str">
        <f t="shared" ref="D50:H50" si="685">D41</f>
        <v>Renfo</v>
      </c>
      <c r="E50" s="79" t="str">
        <f t="shared" si="685"/>
        <v/>
      </c>
      <c r="F50" s="80" t="str">
        <f t="shared" si="685"/>
        <v>Hack squat</v>
      </c>
      <c r="G50" s="81">
        <f t="shared" si="685"/>
        <v>2</v>
      </c>
      <c r="H50" s="82">
        <f t="shared" si="685"/>
        <v>45938</v>
      </c>
      <c r="I50" s="1" t="str">
        <f t="shared" ref="I50:I53" si="690">I23</f>
        <v/>
      </c>
      <c r="J50" s="34" t="str">
        <f>IF(D50="Squat",IF(I50&gt;10,MROUND((I50/100*SQMAX),2.5)," "),IF(D50="Bench",IF(I50&gt;10,MROUND((I50/100*BNMAX),2.5)," "),IF(D50="Deadlift",IF(I50&gt;10,MROUND((I50/100*DLMAX),2.5)," ")," ")))</f>
        <v> </v>
      </c>
      <c r="K50" s="26"/>
      <c r="L50" s="66" t="str">
        <f>IFERROR((J50/VLOOKUP(K50,'RPE vs. %'!$D$3:$P$11,H50+1,FALSE)),"")</f>
        <v/>
      </c>
      <c r="M50" s="67"/>
      <c r="N50" s="27"/>
      <c r="O50" s="94" t="s">
        <v>61</v>
      </c>
      <c r="AM50" s="27"/>
      <c r="AN50" s="78" t="str">
        <f t="shared" ref="AN50:AR50" si="686">AN41</f>
        <v>Renfo</v>
      </c>
      <c r="AO50" s="79" t="str">
        <f t="shared" si="686"/>
        <v/>
      </c>
      <c r="AP50" s="80" t="str">
        <f t="shared" si="686"/>
        <v>Rdl uni</v>
      </c>
      <c r="AQ50" s="81">
        <f t="shared" si="686"/>
        <v>3</v>
      </c>
      <c r="AR50" s="85">
        <f t="shared" si="686"/>
        <v>8</v>
      </c>
      <c r="AS50" s="117" t="str">
        <f t="shared" ref="AS50:AS53" si="692">AS23</f>
        <v/>
      </c>
      <c r="AT50" s="34" t="str">
        <f>IF(AN50="Squat",IF(AS50&gt;10,MROUND((AS50/100*SQMAX),2.5)," "),IF(AN50="Bench",IF(AS50&gt;10,MROUND((AS50/100*BNMAX),2.5)," "),IF(AN50="Deadlift",IF(AS50&gt;10,MROUND((AS50/100*DLMAX),2.5)," ")," ")))</f>
        <v> </v>
      </c>
      <c r="AU50" s="26"/>
      <c r="AV50" s="66" t="str">
        <f>IFERROR((AT50/VLOOKUP(AU50,'RPE vs. %'!$D$3:$P$11,AR50+1,FALSE)),"")</f>
        <v/>
      </c>
      <c r="AW50" s="67"/>
      <c r="AX50" s="27"/>
      <c r="AY50" s="94" t="s">
        <v>61</v>
      </c>
      <c r="BW50" s="27"/>
      <c r="BX50" s="78" t="str">
        <f t="shared" ref="BX50:CB50" si="687">BX41</f>
        <v>Renfo</v>
      </c>
      <c r="BY50" s="79" t="str">
        <f t="shared" si="687"/>
        <v/>
      </c>
      <c r="BZ50" s="80" t="str">
        <f t="shared" si="687"/>
        <v>chest press</v>
      </c>
      <c r="CA50" s="81">
        <f t="shared" si="687"/>
        <v>3</v>
      </c>
      <c r="CB50" s="85">
        <f t="shared" si="687"/>
        <v>12</v>
      </c>
      <c r="CC50" s="117" t="str">
        <f t="shared" ref="CC50:CC53" si="694">CC23</f>
        <v/>
      </c>
      <c r="CD50" s="34" t="str">
        <f>IF(BX50="Squat",IF(CC50&gt;10,MROUND((CC50/100*SQMAX),2.5)," "),IF(BX50="Bench",IF(CC50&gt;10,MROUND((CC50/100*BNMAX),2.5)," "),IF(BX50="Deadlift",IF(CC50&gt;10,MROUND((CC50/100*DLMAX),2.5)," ")," ")))</f>
        <v> </v>
      </c>
      <c r="CE50" s="26"/>
      <c r="CF50" s="66" t="str">
        <f>IFERROR((CD50/VLOOKUP(CE50,'RPE vs. %'!$D$3:$P$11,CB50+1,FALSE)),"")</f>
        <v/>
      </c>
      <c r="CG50" s="67"/>
      <c r="CH50" s="27"/>
      <c r="CI50" s="94" t="s">
        <v>61</v>
      </c>
      <c r="DG50" s="27"/>
      <c r="DH50" s="78" t="str">
        <f t="shared" ref="DH50:DL50" si="688">DH41</f>
        <v>Renfo</v>
      </c>
      <c r="DI50" s="79" t="str">
        <f t="shared" si="688"/>
        <v/>
      </c>
      <c r="DJ50" s="80" t="str">
        <f t="shared" si="688"/>
        <v>Back extension</v>
      </c>
      <c r="DK50" s="81">
        <f t="shared" si="688"/>
        <v>5</v>
      </c>
      <c r="DL50" s="85">
        <f t="shared" si="688"/>
        <v>12</v>
      </c>
      <c r="DM50" s="119" t="str">
        <f t="shared" ref="DM50:DM53" si="696">DM23</f>
        <v/>
      </c>
      <c r="DN50" s="34" t="str">
        <f>IF(DH50="Squat",IF(DM50&gt;10,MROUND((DM50/100*SQMAX),2.5)," "),IF(DH50="Bench",IF(DM50&gt;10,MROUND((DM50/100*BNMAX),2.5)," "),IF(DH50="Deadlift",IF(DM50&gt;10,MROUND((DM50/100*DLMAX),2.5)," ")," ")))</f>
        <v> </v>
      </c>
      <c r="DO50" s="26"/>
      <c r="DP50" s="66" t="str">
        <f>IFERROR((DN50/VLOOKUP(DO50,'RPE vs. %'!$D$3:$P$11,DL50+1,FALSE)),"")</f>
        <v/>
      </c>
      <c r="DQ50" s="67"/>
      <c r="DR50" s="27"/>
      <c r="DS50" s="27"/>
      <c r="DT50" s="57" t="str">
        <f t="shared" si="547"/>
        <v/>
      </c>
      <c r="DU50" s="57" t="str">
        <f t="shared" si="548"/>
        <v/>
      </c>
      <c r="DV50" s="57" t="str">
        <f t="shared" si="549"/>
        <v/>
      </c>
      <c r="DW50" s="57" t="str">
        <f t="shared" si="550"/>
        <v/>
      </c>
      <c r="DX50" s="57" t="str">
        <f t="shared" si="551"/>
        <v/>
      </c>
      <c r="DY50" s="57" t="str">
        <f t="shared" si="552"/>
        <v/>
      </c>
      <c r="DZ50" s="57" t="str">
        <f t="shared" si="553"/>
        <v/>
      </c>
      <c r="EA50" s="57" t="str">
        <f t="shared" si="554"/>
        <v/>
      </c>
      <c r="EB50" s="57" t="str">
        <f t="shared" si="555"/>
        <v/>
      </c>
      <c r="EC50" s="57" t="str">
        <f t="shared" si="556"/>
        <v/>
      </c>
      <c r="ED50" s="57" t="str">
        <f t="shared" si="557"/>
        <v/>
      </c>
      <c r="EE50" s="57" t="str">
        <f t="shared" si="558"/>
        <v/>
      </c>
      <c r="EF50" s="57" t="str">
        <f t="shared" si="559"/>
        <v/>
      </c>
      <c r="EG50" s="57" t="str">
        <f t="shared" si="560"/>
        <v/>
      </c>
      <c r="EH50" s="57" t="str">
        <f t="shared" si="561"/>
        <v/>
      </c>
      <c r="EI50" s="57" t="str">
        <f t="shared" si="562"/>
        <v/>
      </c>
      <c r="EJ50" s="57" t="str">
        <f t="shared" si="563"/>
        <v/>
      </c>
      <c r="EK50" s="57" t="str">
        <f t="shared" si="564"/>
        <v/>
      </c>
      <c r="EL50" s="57" t="str">
        <f t="shared" si="565"/>
        <v/>
      </c>
      <c r="EM50" s="57" t="str">
        <f t="shared" si="566"/>
        <v/>
      </c>
      <c r="EN50" s="57" t="str">
        <f t="shared" si="567"/>
        <v/>
      </c>
      <c r="EO50" s="57" t="str">
        <f t="shared" si="568"/>
        <v/>
      </c>
      <c r="EP50" s="57" t="str">
        <f t="shared" si="569"/>
        <v/>
      </c>
      <c r="EQ50" s="57" t="str">
        <f t="shared" si="570"/>
        <v/>
      </c>
      <c r="ER50" s="56" t="str">
        <f t="shared" si="571"/>
        <v>#REF!</v>
      </c>
      <c r="ES50" s="56" t="str">
        <f t="shared" si="572"/>
        <v>#REF!</v>
      </c>
      <c r="ET50" s="56" t="str">
        <f t="shared" si="573"/>
        <v>#REF!</v>
      </c>
      <c r="EU50" s="56" t="str">
        <f t="shared" si="574"/>
        <v>#REF!</v>
      </c>
      <c r="EV50" s="56" t="str">
        <f t="shared" si="575"/>
        <v>#REF!</v>
      </c>
      <c r="EW50" s="56" t="str">
        <f t="shared" si="576"/>
        <v>#REF!</v>
      </c>
      <c r="EX50" s="56" t="str">
        <f t="shared" si="577"/>
        <v>#REF!</v>
      </c>
      <c r="EY50" s="56" t="str">
        <f t="shared" si="578"/>
        <v>#REF!</v>
      </c>
      <c r="EZ50" s="56" t="str">
        <f t="shared" si="579"/>
        <v>#REF!</v>
      </c>
      <c r="FA50" s="56" t="str">
        <f t="shared" si="580"/>
        <v>#REF!</v>
      </c>
      <c r="FB50" s="56" t="str">
        <f t="shared" si="581"/>
        <v>#REF!</v>
      </c>
      <c r="FC50" s="56" t="str">
        <f t="shared" si="582"/>
        <v>#REF!</v>
      </c>
      <c r="FD50" s="56" t="str">
        <f t="shared" si="583"/>
        <v>#REF!</v>
      </c>
      <c r="FE50" s="56" t="str">
        <f t="shared" si="584"/>
        <v>#REF!</v>
      </c>
      <c r="FF50" s="56" t="str">
        <f t="shared" si="585"/>
        <v>#REF!</v>
      </c>
      <c r="FG50" s="56" t="str">
        <f t="shared" si="586"/>
        <v>#REF!</v>
      </c>
      <c r="FH50" s="56" t="str">
        <f t="shared" si="587"/>
        <v>#REF!</v>
      </c>
      <c r="FI50" s="56" t="str">
        <f t="shared" si="588"/>
        <v>#REF!</v>
      </c>
      <c r="FJ50" s="56" t="str">
        <f t="shared" si="589"/>
        <v>#REF!</v>
      </c>
      <c r="FK50" s="56" t="str">
        <f t="shared" si="590"/>
        <v>#REF!</v>
      </c>
      <c r="FL50" s="56" t="str">
        <f t="shared" si="591"/>
        <v>#REF!</v>
      </c>
      <c r="FM50" s="56" t="str">
        <f t="shared" si="592"/>
        <v>#REF!</v>
      </c>
      <c r="FN50" s="56" t="str">
        <f t="shared" si="593"/>
        <v>#REF!</v>
      </c>
      <c r="FO50" s="56" t="str">
        <f t="shared" si="594"/>
        <v>#REF!</v>
      </c>
    </row>
    <row r="51">
      <c r="A51" s="27"/>
      <c r="C51" s="46"/>
      <c r="D51" s="78" t="str">
        <f t="shared" ref="D51:H51" si="689">D42</f>
        <v>Renfo</v>
      </c>
      <c r="E51" s="79" t="str">
        <f t="shared" si="689"/>
        <v/>
      </c>
      <c r="F51" s="80" t="str">
        <f t="shared" si="689"/>
        <v>développer militaire </v>
      </c>
      <c r="G51" s="81">
        <f t="shared" si="689"/>
        <v>2</v>
      </c>
      <c r="H51" s="85">
        <f t="shared" si="689"/>
        <v>8</v>
      </c>
      <c r="I51" s="1" t="str">
        <f t="shared" si="690"/>
        <v/>
      </c>
      <c r="J51" s="34" t="str">
        <f>IF(D51="Squat",IF(I51&gt;10,MROUND((I51/100*SQMAX),2.5)," "),IF(D51="Bench",IF(I51&gt;10,MROUND((I51/100*BNMAX),2.5)," "),IF(D51="Deadlift",IF(I51&gt;10,MROUND((I51/100*DLMAX),2.5)," ")," ")))</f>
        <v> </v>
      </c>
      <c r="K51" s="26"/>
      <c r="L51" s="66" t="str">
        <f>IFERROR((J51/VLOOKUP(K51,'RPE vs. %'!$D$3:$P$11,H51+1,FALSE)),"")</f>
        <v/>
      </c>
      <c r="M51" s="67"/>
      <c r="N51" s="27"/>
      <c r="O51" s="104" t="s">
        <v>11</v>
      </c>
      <c r="Q51" s="105" t="s">
        <v>12</v>
      </c>
      <c r="S51" s="106" t="s">
        <v>13</v>
      </c>
      <c r="U51" s="33" t="s">
        <v>14</v>
      </c>
      <c r="W51" s="56" t="s">
        <v>15</v>
      </c>
      <c r="Y51" s="35" t="s">
        <v>16</v>
      </c>
      <c r="AA51" s="56" t="s">
        <v>17</v>
      </c>
      <c r="AC51" s="56" t="s">
        <v>18</v>
      </c>
      <c r="AE51" s="56" t="s">
        <v>19</v>
      </c>
      <c r="AG51" s="56" t="s">
        <v>20</v>
      </c>
      <c r="AI51" s="56" t="s">
        <v>21</v>
      </c>
      <c r="AK51" s="56" t="s">
        <v>22</v>
      </c>
      <c r="AM51" s="27"/>
      <c r="AN51" s="78" t="str">
        <f t="shared" ref="AN51:AR51" si="691">AN42</f>
        <v>Renfo</v>
      </c>
      <c r="AO51" s="79" t="str">
        <f t="shared" si="691"/>
        <v/>
      </c>
      <c r="AP51" s="80" t="str">
        <f t="shared" si="691"/>
        <v>Back extension</v>
      </c>
      <c r="AQ51" s="81">
        <f t="shared" si="691"/>
        <v>5</v>
      </c>
      <c r="AR51" s="85">
        <f t="shared" si="691"/>
        <v>12</v>
      </c>
      <c r="AS51" s="117" t="str">
        <f t="shared" si="692"/>
        <v/>
      </c>
      <c r="AT51" s="34" t="str">
        <f>IF(AN51="Squat",IF(AS51&gt;10,MROUND((AS51/100*SQMAX),2.5)," "),IF(AN51="Bench",IF(AS51&gt;10,MROUND((AS51/100*BNMAX),2.5)," "),IF(AN51="Deadlift",IF(AS51&gt;10,MROUND((AS51/100*DLMAX),2.5)," ")," ")))</f>
        <v> </v>
      </c>
      <c r="AU51" s="26"/>
      <c r="AV51" s="66" t="str">
        <f>IFERROR((AT51/VLOOKUP(AU51,'RPE vs. %'!$D$3:$P$11,AR51+1,FALSE)),"")</f>
        <v/>
      </c>
      <c r="AW51" s="67"/>
      <c r="AX51" s="27"/>
      <c r="AY51" s="104" t="s">
        <v>11</v>
      </c>
      <c r="BA51" s="105" t="s">
        <v>12</v>
      </c>
      <c r="BC51" s="106" t="s">
        <v>13</v>
      </c>
      <c r="BE51" s="33" t="s">
        <v>14</v>
      </c>
      <c r="BG51" s="56" t="s">
        <v>15</v>
      </c>
      <c r="BI51" s="35" t="s">
        <v>16</v>
      </c>
      <c r="BK51" s="56" t="s">
        <v>17</v>
      </c>
      <c r="BM51" s="56" t="s">
        <v>18</v>
      </c>
      <c r="BO51" s="56" t="s">
        <v>19</v>
      </c>
      <c r="BQ51" s="56" t="s">
        <v>20</v>
      </c>
      <c r="BS51" s="56" t="s">
        <v>21</v>
      </c>
      <c r="BU51" s="56" t="s">
        <v>22</v>
      </c>
      <c r="BW51" s="27"/>
      <c r="BX51" s="78" t="str">
        <f t="shared" ref="BX51:CB51" si="693">BX42</f>
        <v>Renfo</v>
      </c>
      <c r="BY51" s="79" t="str">
        <f t="shared" si="693"/>
        <v/>
      </c>
      <c r="BZ51" s="80" t="str">
        <f t="shared" si="693"/>
        <v>Incliné haltère</v>
      </c>
      <c r="CA51" s="81">
        <f t="shared" si="693"/>
        <v>3</v>
      </c>
      <c r="CB51" s="85">
        <f t="shared" si="693"/>
        <v>8</v>
      </c>
      <c r="CC51" s="117" t="str">
        <f t="shared" si="694"/>
        <v/>
      </c>
      <c r="CD51" s="34" t="str">
        <f>IF(BX51="Squat",IF(CC51&gt;10,MROUND((CC51/100*SQMAX),2.5)," "),IF(BX51="Bench",IF(CC51&gt;10,MROUND((CC51/100*BNMAX),2.5)," "),IF(BX51="Deadlift",IF(CC51&gt;10,MROUND((CC51/100*DLMAX),2.5)," ")," ")))</f>
        <v> </v>
      </c>
      <c r="CE51" s="26"/>
      <c r="CF51" s="66" t="str">
        <f>IFERROR((CD51/VLOOKUP(CE51,'RPE vs. %'!$D$3:$P$11,CB51+1,FALSE)),"")</f>
        <v/>
      </c>
      <c r="CG51" s="67"/>
      <c r="CH51" s="27"/>
      <c r="CI51" s="104" t="s">
        <v>11</v>
      </c>
      <c r="CK51" s="105" t="s">
        <v>12</v>
      </c>
      <c r="CM51" s="106" t="s">
        <v>13</v>
      </c>
      <c r="CO51" s="33" t="s">
        <v>14</v>
      </c>
      <c r="CQ51" s="56" t="s">
        <v>15</v>
      </c>
      <c r="CS51" s="35" t="s">
        <v>16</v>
      </c>
      <c r="CU51" s="56" t="s">
        <v>17</v>
      </c>
      <c r="CW51" s="56" t="s">
        <v>18</v>
      </c>
      <c r="CY51" s="56" t="s">
        <v>19</v>
      </c>
      <c r="DA51" s="56" t="s">
        <v>20</v>
      </c>
      <c r="DC51" s="56" t="s">
        <v>21</v>
      </c>
      <c r="DE51" s="56" t="s">
        <v>22</v>
      </c>
      <c r="DG51" s="27"/>
      <c r="DH51" s="78" t="str">
        <f t="shared" ref="DH51:DL51" si="695">DH42</f>
        <v>Renfo</v>
      </c>
      <c r="DI51" s="79" t="str">
        <f t="shared" si="695"/>
        <v/>
      </c>
      <c r="DJ51" s="80" t="str">
        <f t="shared" si="695"/>
        <v>Back extension (coté)</v>
      </c>
      <c r="DK51" s="81">
        <f t="shared" si="695"/>
        <v>3</v>
      </c>
      <c r="DL51" s="85">
        <f t="shared" si="695"/>
        <v>12</v>
      </c>
      <c r="DM51" s="119" t="str">
        <f t="shared" si="696"/>
        <v/>
      </c>
      <c r="DN51" s="34" t="str">
        <f>IF(DH51="Squat",IF(DM51&gt;10,MROUND((DM51/100*SQMAX),2.5)," "),IF(DH51="Bench",IF(DM51&gt;10,MROUND((DM51/100*BNMAX),2.5)," "),IF(DH51="Deadlift",IF(DM51&gt;10,MROUND((DM51/100*DLMAX),2.5)," ")," ")))</f>
        <v> </v>
      </c>
      <c r="DO51" s="26"/>
      <c r="DP51" s="66" t="str">
        <f>IFERROR((DN51/VLOOKUP(DO51,'RPE vs. %'!$D$3:$P$11,DL51+1,FALSE)),"")</f>
        <v/>
      </c>
      <c r="DQ51" s="67"/>
      <c r="DR51" s="27"/>
      <c r="DS51" s="27"/>
      <c r="DT51" s="91">
        <f t="shared" ref="DT51:FO51" si="697">SUM(DT44:DT50)</f>
        <v>3</v>
      </c>
      <c r="DU51" s="91">
        <f t="shared" si="697"/>
        <v>1642.5</v>
      </c>
      <c r="DV51" s="91">
        <f t="shared" si="697"/>
        <v>3</v>
      </c>
      <c r="DW51" s="91">
        <f t="shared" si="697"/>
        <v>1147.5</v>
      </c>
      <c r="DX51" s="91">
        <f t="shared" si="697"/>
        <v>3</v>
      </c>
      <c r="DY51" s="91">
        <f t="shared" si="697"/>
        <v>2047.5</v>
      </c>
      <c r="DZ51" s="91">
        <f t="shared" si="697"/>
        <v>0</v>
      </c>
      <c r="EA51" s="91">
        <f t="shared" si="697"/>
        <v>0</v>
      </c>
      <c r="EB51" s="91">
        <f t="shared" si="697"/>
        <v>0</v>
      </c>
      <c r="EC51" s="91">
        <f t="shared" si="697"/>
        <v>0</v>
      </c>
      <c r="ED51" s="91">
        <f t="shared" si="697"/>
        <v>0</v>
      </c>
      <c r="EE51" s="91">
        <f t="shared" si="697"/>
        <v>0</v>
      </c>
      <c r="EF51" s="91">
        <f t="shared" si="697"/>
        <v>0</v>
      </c>
      <c r="EG51" s="91">
        <f t="shared" si="697"/>
        <v>0</v>
      </c>
      <c r="EH51" s="91">
        <f t="shared" si="697"/>
        <v>0</v>
      </c>
      <c r="EI51" s="91">
        <f t="shared" si="697"/>
        <v>0</v>
      </c>
      <c r="EJ51" s="91">
        <f t="shared" si="697"/>
        <v>0</v>
      </c>
      <c r="EK51" s="91">
        <f t="shared" si="697"/>
        <v>0</v>
      </c>
      <c r="EL51" s="91">
        <f t="shared" si="697"/>
        <v>0</v>
      </c>
      <c r="EM51" s="91">
        <f t="shared" si="697"/>
        <v>0</v>
      </c>
      <c r="EN51" s="91">
        <f t="shared" si="697"/>
        <v>0</v>
      </c>
      <c r="EO51" s="91">
        <f t="shared" si="697"/>
        <v>0</v>
      </c>
      <c r="EP51" s="91">
        <f t="shared" si="697"/>
        <v>0</v>
      </c>
      <c r="EQ51" s="91">
        <f t="shared" si="697"/>
        <v>0</v>
      </c>
      <c r="ER51" s="91" t="str">
        <f t="shared" si="697"/>
        <v>#REF!</v>
      </c>
      <c r="ES51" s="91" t="str">
        <f t="shared" si="697"/>
        <v>#REF!</v>
      </c>
      <c r="ET51" s="91" t="str">
        <f t="shared" si="697"/>
        <v>#REF!</v>
      </c>
      <c r="EU51" s="91" t="str">
        <f t="shared" si="697"/>
        <v>#REF!</v>
      </c>
      <c r="EV51" s="91" t="str">
        <f t="shared" si="697"/>
        <v>#REF!</v>
      </c>
      <c r="EW51" s="91" t="str">
        <f t="shared" si="697"/>
        <v>#REF!</v>
      </c>
      <c r="EX51" s="91" t="str">
        <f t="shared" si="697"/>
        <v>#REF!</v>
      </c>
      <c r="EY51" s="91" t="str">
        <f t="shared" si="697"/>
        <v>#REF!</v>
      </c>
      <c r="EZ51" s="91" t="str">
        <f t="shared" si="697"/>
        <v>#REF!</v>
      </c>
      <c r="FA51" s="91" t="str">
        <f t="shared" si="697"/>
        <v>#REF!</v>
      </c>
      <c r="FB51" s="91" t="str">
        <f t="shared" si="697"/>
        <v>#REF!</v>
      </c>
      <c r="FC51" s="91" t="str">
        <f t="shared" si="697"/>
        <v>#REF!</v>
      </c>
      <c r="FD51" s="91" t="str">
        <f t="shared" si="697"/>
        <v>#REF!</v>
      </c>
      <c r="FE51" s="91" t="str">
        <f t="shared" si="697"/>
        <v>#REF!</v>
      </c>
      <c r="FF51" s="91" t="str">
        <f t="shared" si="697"/>
        <v>#REF!</v>
      </c>
      <c r="FG51" s="91" t="str">
        <f t="shared" si="697"/>
        <v>#REF!</v>
      </c>
      <c r="FH51" s="91" t="str">
        <f t="shared" si="697"/>
        <v>#REF!</v>
      </c>
      <c r="FI51" s="91" t="str">
        <f t="shared" si="697"/>
        <v>#REF!</v>
      </c>
      <c r="FJ51" s="91" t="str">
        <f t="shared" si="697"/>
        <v>#REF!</v>
      </c>
      <c r="FK51" s="91" t="str">
        <f t="shared" si="697"/>
        <v>#REF!</v>
      </c>
      <c r="FL51" s="91" t="str">
        <f t="shared" si="697"/>
        <v>#REF!</v>
      </c>
      <c r="FM51" s="91" t="str">
        <f t="shared" si="697"/>
        <v>#REF!</v>
      </c>
      <c r="FN51" s="91" t="str">
        <f t="shared" si="697"/>
        <v>#REF!</v>
      </c>
      <c r="FO51" s="91" t="str">
        <f t="shared" si="697"/>
        <v>#REF!</v>
      </c>
    </row>
    <row r="52">
      <c r="A52" s="27"/>
      <c r="C52" s="46"/>
      <c r="D52" s="79" t="str">
        <f t="shared" ref="D52:H52" si="698">D43</f>
        <v>Renfo</v>
      </c>
      <c r="E52" s="79" t="str">
        <f t="shared" si="698"/>
        <v/>
      </c>
      <c r="F52" s="79" t="str">
        <f t="shared" si="698"/>
        <v>élévation lateral</v>
      </c>
      <c r="G52" s="18">
        <f t="shared" si="698"/>
        <v>3</v>
      </c>
      <c r="H52" s="79">
        <f t="shared" si="698"/>
        <v>12</v>
      </c>
      <c r="I52" s="1" t="str">
        <f t="shared" si="690"/>
        <v/>
      </c>
      <c r="J52" s="34" t="str">
        <f>IF(D52="Squat",IF(I52&gt;10,MROUND((I52/100*SQMAX),2.5)," "),IF(D52="Bench",IF(I52&gt;10,MROUND((I52/100*BNMAX),2.5)," "),IF(D52="Deadlift",IF(I52&gt;10,MROUND((I52/100*DLMAX),2.5)," ")," ")))</f>
        <v> </v>
      </c>
      <c r="K52" s="26"/>
      <c r="L52" s="66" t="str">
        <f>IFERROR((J52/VLOOKUP(K52,'RPE vs. %'!$D$3:$P$11,H52+1,FALSE)),"")</f>
        <v/>
      </c>
      <c r="M52" s="67"/>
      <c r="N52" s="27"/>
      <c r="O52" s="127" t="s">
        <v>33</v>
      </c>
      <c r="P52" s="127" t="s">
        <v>34</v>
      </c>
      <c r="Q52" s="127" t="s">
        <v>33</v>
      </c>
      <c r="R52" s="127" t="s">
        <v>34</v>
      </c>
      <c r="S52" s="127" t="s">
        <v>33</v>
      </c>
      <c r="T52" s="127" t="s">
        <v>34</v>
      </c>
      <c r="U52" s="127" t="s">
        <v>33</v>
      </c>
      <c r="V52" s="127" t="s">
        <v>34</v>
      </c>
      <c r="W52" s="127" t="s">
        <v>33</v>
      </c>
      <c r="X52" s="127" t="s">
        <v>34</v>
      </c>
      <c r="Y52" s="127" t="s">
        <v>33</v>
      </c>
      <c r="Z52" s="127" t="s">
        <v>34</v>
      </c>
      <c r="AA52" s="127" t="s">
        <v>33</v>
      </c>
      <c r="AB52" s="127" t="s">
        <v>34</v>
      </c>
      <c r="AC52" s="127" t="s">
        <v>33</v>
      </c>
      <c r="AD52" s="127" t="s">
        <v>34</v>
      </c>
      <c r="AE52" s="127" t="s">
        <v>33</v>
      </c>
      <c r="AF52" s="127" t="s">
        <v>34</v>
      </c>
      <c r="AG52" s="127" t="s">
        <v>33</v>
      </c>
      <c r="AH52" s="127" t="s">
        <v>34</v>
      </c>
      <c r="AI52" s="127" t="s">
        <v>33</v>
      </c>
      <c r="AJ52" s="127" t="s">
        <v>34</v>
      </c>
      <c r="AK52" s="127" t="s">
        <v>33</v>
      </c>
      <c r="AL52" s="127" t="s">
        <v>34</v>
      </c>
      <c r="AM52" s="27"/>
      <c r="AN52" s="78" t="str">
        <f t="shared" ref="AN52:AR52" si="699">AN43</f>
        <v>Renfo</v>
      </c>
      <c r="AO52" s="79" t="str">
        <f t="shared" si="699"/>
        <v/>
      </c>
      <c r="AP52" s="80" t="str">
        <f t="shared" si="699"/>
        <v>Traction</v>
      </c>
      <c r="AQ52" s="81">
        <f t="shared" si="699"/>
        <v>3</v>
      </c>
      <c r="AR52" s="85">
        <f t="shared" si="699"/>
        <v>12</v>
      </c>
      <c r="AS52" s="117" t="str">
        <f t="shared" si="692"/>
        <v/>
      </c>
      <c r="AT52" s="34" t="str">
        <f>IF(AN52="Squat",IF(AS52&gt;10,MROUND((AS52/100*SQMAX),2.5)," "),IF(AN52="Bench",IF(AS52&gt;10,MROUND((AS52/100*BNMAX),2.5)," "),IF(AN52="Deadlift",IF(AS52&gt;10,MROUND((AS52/100*DLMAX),2.5)," ")," ")))</f>
        <v> </v>
      </c>
      <c r="AU52" s="26"/>
      <c r="AV52" s="66" t="str">
        <f>IFERROR((AT52/VLOOKUP(AU52,'RPE vs. %'!$D$3:$P$11,AR52+1,FALSE)),"")</f>
        <v/>
      </c>
      <c r="AW52" s="67"/>
      <c r="AX52" s="27"/>
      <c r="AY52" s="127" t="s">
        <v>33</v>
      </c>
      <c r="AZ52" s="127" t="s">
        <v>34</v>
      </c>
      <c r="BA52" s="127" t="s">
        <v>33</v>
      </c>
      <c r="BB52" s="127" t="s">
        <v>34</v>
      </c>
      <c r="BC52" s="127" t="s">
        <v>33</v>
      </c>
      <c r="BD52" s="127" t="s">
        <v>34</v>
      </c>
      <c r="BE52" s="127" t="s">
        <v>33</v>
      </c>
      <c r="BF52" s="127" t="s">
        <v>34</v>
      </c>
      <c r="BG52" s="127" t="s">
        <v>33</v>
      </c>
      <c r="BH52" s="127" t="s">
        <v>34</v>
      </c>
      <c r="BI52" s="127" t="s">
        <v>33</v>
      </c>
      <c r="BJ52" s="127" t="s">
        <v>34</v>
      </c>
      <c r="BK52" s="127" t="s">
        <v>33</v>
      </c>
      <c r="BL52" s="127" t="s">
        <v>34</v>
      </c>
      <c r="BM52" s="127" t="s">
        <v>33</v>
      </c>
      <c r="BN52" s="127" t="s">
        <v>34</v>
      </c>
      <c r="BO52" s="127" t="s">
        <v>33</v>
      </c>
      <c r="BP52" s="127" t="s">
        <v>34</v>
      </c>
      <c r="BQ52" s="127" t="s">
        <v>33</v>
      </c>
      <c r="BR52" s="127" t="s">
        <v>34</v>
      </c>
      <c r="BS52" s="127" t="s">
        <v>33</v>
      </c>
      <c r="BT52" s="127" t="s">
        <v>34</v>
      </c>
      <c r="BU52" s="127" t="s">
        <v>33</v>
      </c>
      <c r="BV52" s="127" t="s">
        <v>34</v>
      </c>
      <c r="BW52" s="27"/>
      <c r="BX52" s="78" t="str">
        <f t="shared" ref="BX52:CB52" si="700">BX43</f>
        <v>Renfo</v>
      </c>
      <c r="BY52" s="79" t="str">
        <f t="shared" si="700"/>
        <v/>
      </c>
      <c r="BZ52" s="80" t="str">
        <f t="shared" si="700"/>
        <v>Extension triceps</v>
      </c>
      <c r="CA52" s="81">
        <f t="shared" si="700"/>
        <v>3</v>
      </c>
      <c r="CB52" s="85">
        <f t="shared" si="700"/>
        <v>15</v>
      </c>
      <c r="CC52" s="117" t="str">
        <f t="shared" si="694"/>
        <v/>
      </c>
      <c r="CD52" s="34" t="str">
        <f>IF(BX52="Squat",IF(CC52&gt;10,MROUND((CC52/100*SQMAX),2.5)," "),IF(BX52="Bench",IF(CC52&gt;10,MROUND((CC52/100*BNMAX),2.5)," "),IF(BX52="Deadlift",IF(CC52&gt;10,MROUND((CC52/100*DLMAX),2.5)," ")," ")))</f>
        <v> </v>
      </c>
      <c r="CE52" s="26"/>
      <c r="CF52" s="66" t="str">
        <f>IFERROR((CD52/VLOOKUP(CE52,'RPE vs. %'!$D$3:$P$11,CB52+1,FALSE)),"")</f>
        <v/>
      </c>
      <c r="CG52" s="67"/>
      <c r="CH52" s="27"/>
      <c r="CI52" s="127" t="s">
        <v>33</v>
      </c>
      <c r="CJ52" s="127" t="s">
        <v>34</v>
      </c>
      <c r="CK52" s="127" t="s">
        <v>33</v>
      </c>
      <c r="CL52" s="127" t="s">
        <v>34</v>
      </c>
      <c r="CM52" s="127" t="s">
        <v>33</v>
      </c>
      <c r="CN52" s="127" t="s">
        <v>34</v>
      </c>
      <c r="CO52" s="127" t="s">
        <v>33</v>
      </c>
      <c r="CP52" s="127" t="s">
        <v>34</v>
      </c>
      <c r="CQ52" s="127" t="s">
        <v>33</v>
      </c>
      <c r="CR52" s="127" t="s">
        <v>34</v>
      </c>
      <c r="CS52" s="127" t="s">
        <v>33</v>
      </c>
      <c r="CT52" s="127" t="s">
        <v>34</v>
      </c>
      <c r="CU52" s="127" t="s">
        <v>33</v>
      </c>
      <c r="CV52" s="127" t="s">
        <v>34</v>
      </c>
      <c r="CW52" s="127" t="s">
        <v>33</v>
      </c>
      <c r="CX52" s="127" t="s">
        <v>34</v>
      </c>
      <c r="CY52" s="127" t="s">
        <v>33</v>
      </c>
      <c r="CZ52" s="127" t="s">
        <v>34</v>
      </c>
      <c r="DA52" s="127" t="s">
        <v>33</v>
      </c>
      <c r="DB52" s="127" t="s">
        <v>34</v>
      </c>
      <c r="DC52" s="127" t="s">
        <v>33</v>
      </c>
      <c r="DD52" s="127" t="s">
        <v>34</v>
      </c>
      <c r="DE52" s="127" t="s">
        <v>33</v>
      </c>
      <c r="DF52" s="127" t="s">
        <v>34</v>
      </c>
      <c r="DG52" s="27"/>
      <c r="DH52" s="79" t="str">
        <f t="shared" ref="DH52:DL52" si="701">DH43</f>
        <v/>
      </c>
      <c r="DI52" s="79" t="str">
        <f t="shared" si="701"/>
        <v/>
      </c>
      <c r="DJ52" s="79" t="str">
        <f t="shared" si="701"/>
        <v/>
      </c>
      <c r="DK52" s="18" t="str">
        <f t="shared" si="701"/>
        <v/>
      </c>
      <c r="DL52" s="79" t="str">
        <f t="shared" si="701"/>
        <v/>
      </c>
      <c r="DM52" s="119" t="str">
        <f t="shared" si="696"/>
        <v/>
      </c>
      <c r="DN52" s="34" t="str">
        <f>IF(DH52="Squat",IF(DM52&gt;10,MROUND((DM52/100*SQMAX),2.5)," "),IF(DH52="Bench",IF(DM52&gt;10,MROUND((DM52/100*BNMAX),2.5)," "),IF(DH52="Deadlift",IF(DM52&gt;10,MROUND((DM52/100*DLMAX),2.5)," ")," ")))</f>
        <v> </v>
      </c>
      <c r="DO52" s="26"/>
      <c r="DP52" s="66" t="str">
        <f>IFERROR((DN52/VLOOKUP(DO52,'RPE vs. %'!$D$3:$P$11,DL52+1,FALSE)),"")</f>
        <v/>
      </c>
      <c r="DQ52" s="67"/>
      <c r="DR52" s="27"/>
      <c r="DS52" s="27"/>
      <c r="DT52" s="134"/>
      <c r="DU52" s="134"/>
      <c r="DV52" s="134"/>
      <c r="DW52" s="134"/>
      <c r="DX52" s="134"/>
      <c r="DY52" s="134"/>
      <c r="DZ52" s="134"/>
      <c r="EA52" s="134"/>
      <c r="EB52" s="134"/>
      <c r="EC52" s="134"/>
      <c r="ED52" s="134"/>
      <c r="EE52" s="134"/>
      <c r="EF52" s="134"/>
      <c r="EG52" s="134"/>
      <c r="EH52" s="134"/>
      <c r="EI52" s="134"/>
      <c r="EJ52" s="134"/>
      <c r="EK52" s="134"/>
      <c r="EL52" s="134"/>
      <c r="EM52" s="134"/>
      <c r="EN52" s="134"/>
      <c r="EO52" s="134"/>
      <c r="EP52" s="134"/>
      <c r="EQ52" s="134"/>
      <c r="ER52" s="134"/>
      <c r="ES52" s="134"/>
      <c r="ET52" s="134"/>
      <c r="EU52" s="134"/>
      <c r="EV52" s="134"/>
      <c r="EW52" s="134"/>
      <c r="EX52" s="134"/>
      <c r="EY52" s="134"/>
      <c r="EZ52" s="134"/>
      <c r="FA52" s="134"/>
      <c r="FB52" s="134"/>
      <c r="FC52" s="134"/>
      <c r="FD52" s="134"/>
      <c r="FE52" s="134"/>
      <c r="FF52" s="134"/>
      <c r="FG52" s="134"/>
      <c r="FH52" s="134"/>
      <c r="FI52" s="134"/>
      <c r="FJ52" s="134"/>
      <c r="FK52" s="134"/>
      <c r="FL52" s="134"/>
      <c r="FM52" s="134"/>
      <c r="FN52" s="134"/>
      <c r="FO52" s="134"/>
    </row>
    <row r="53">
      <c r="A53" s="27"/>
      <c r="C53" s="96"/>
      <c r="D53" s="130" t="str">
        <f t="shared" ref="D53:H53" si="702">D44</f>
        <v/>
      </c>
      <c r="E53" s="130" t="str">
        <f t="shared" si="702"/>
        <v/>
      </c>
      <c r="F53" s="130" t="str">
        <f t="shared" si="702"/>
        <v/>
      </c>
      <c r="G53" s="18" t="str">
        <f t="shared" si="702"/>
        <v/>
      </c>
      <c r="H53" s="130" t="str">
        <f t="shared" si="702"/>
        <v/>
      </c>
      <c r="I53" s="1" t="str">
        <f t="shared" si="690"/>
        <v/>
      </c>
      <c r="J53" s="34" t="str">
        <f>IF(D53="Squat",IF(I53&gt;10,MROUND((I53/100*SQMAX),2.5)," "),IF(D53="Bench",IF(I53&gt;10,MROUND((I53/100*BNMAX),2.5)," "),IF(D53="Deadlift",IF(I53&gt;10,MROUND((I53/100*DLMAX),2.5)," ")," ")))</f>
        <v> </v>
      </c>
      <c r="K53" s="27"/>
      <c r="L53" s="88" t="str">
        <f>IFERROR((J53/VLOOKUP(K53,'RPE vs. %'!$D$3:$P$11,H53+1,FALSE)),"")</f>
        <v/>
      </c>
      <c r="M53" s="89"/>
      <c r="N53" s="27"/>
      <c r="O53" s="56">
        <f>IF(D47="Squat",G47,"")</f>
        <v>2</v>
      </c>
      <c r="P53" s="56">
        <f>IF(D47="Squat",G47*H47*J47,"")</f>
        <v>1575</v>
      </c>
      <c r="Q53" s="57" t="str">
        <f>IF(D47="Bench",G47,"")</f>
        <v/>
      </c>
      <c r="R53" s="57" t="str">
        <f>IF(D47="Bench",G47*H47*J47,"")</f>
        <v/>
      </c>
      <c r="S53" s="57" t="str">
        <f>IF(D47="Deadlift",G47,"")</f>
        <v/>
      </c>
      <c r="T53" s="57" t="str">
        <f>IF(D47="Deadlift",G47*H47*J47,"")</f>
        <v/>
      </c>
      <c r="U53" s="57" t="str">
        <f>IF(E47="pecs",G47,"")</f>
        <v/>
      </c>
      <c r="V53" s="57" t="str">
        <f>IF(E47="pecs",G47*H47*J47,"")</f>
        <v/>
      </c>
      <c r="W53" s="57" t="str">
        <f>IF(E47="dos",G47,"")</f>
        <v/>
      </c>
      <c r="X53" s="57" t="str">
        <f>IF(E47="dos",G47*H47*J47,"")</f>
        <v/>
      </c>
      <c r="Y53" s="57" t="str">
        <f>IF(E47="épaules",G47,"")</f>
        <v/>
      </c>
      <c r="Z53" s="57" t="str">
        <f>IF(E47="épaules",G47*H47*J47,"")</f>
        <v/>
      </c>
      <c r="AA53" s="57" t="str">
        <f>IF(E47="biceps",G47,"")</f>
        <v/>
      </c>
      <c r="AB53" s="57" t="str">
        <f>IF(E47="biceps",G47*H47*J47,"")</f>
        <v/>
      </c>
      <c r="AC53" s="57" t="str">
        <f>IF(E47="triceps",G47,"")</f>
        <v/>
      </c>
      <c r="AD53" s="57" t="str">
        <f>IF(E47="triceps",G47*H47*J47,"")</f>
        <v/>
      </c>
      <c r="AE53" s="57" t="str">
        <f>IF(E47="quads",G47,"")</f>
        <v/>
      </c>
      <c r="AF53" s="57" t="str">
        <f>IF(E47="quads",G47*H47*J47,"")</f>
        <v/>
      </c>
      <c r="AG53" s="57" t="str">
        <f>IF(E47="ischios",G47,"")</f>
        <v/>
      </c>
      <c r="AH53" s="57" t="str">
        <f>IF(E47="ischios",G47*H47*J47,"")</f>
        <v/>
      </c>
      <c r="AI53" s="57" t="str">
        <f>IF(E47="fessier",G47,"")</f>
        <v/>
      </c>
      <c r="AJ53" s="57" t="str">
        <f>IF(E47="fessier",G47*H47*J47,"")</f>
        <v/>
      </c>
      <c r="AK53" s="57" t="str">
        <f>IF(E47="mollets",G47,"")</f>
        <v/>
      </c>
      <c r="AL53" s="57" t="str">
        <f>IF(E47="mollets",G47*H47*J47,"")</f>
        <v/>
      </c>
      <c r="AM53" s="27"/>
      <c r="AN53" s="130" t="str">
        <f t="shared" ref="AN53:AR53" si="703">AN44</f>
        <v/>
      </c>
      <c r="AO53" s="130" t="str">
        <f t="shared" si="703"/>
        <v/>
      </c>
      <c r="AP53" s="130" t="str">
        <f t="shared" si="703"/>
        <v/>
      </c>
      <c r="AQ53" s="18" t="str">
        <f t="shared" si="703"/>
        <v/>
      </c>
      <c r="AR53" s="130" t="str">
        <f t="shared" si="703"/>
        <v/>
      </c>
      <c r="AS53" s="117" t="str">
        <f t="shared" si="692"/>
        <v/>
      </c>
      <c r="AT53" s="34" t="str">
        <f>IF(AN53="Squat",IF(AS53&gt;10,MROUND((AS53/100*SQMAX),2.5)," "),IF(AN53="Bench",IF(AS53&gt;10,MROUND((AS53/100*BNMAX),2.5)," "),IF(AN53="Deadlift",IF(AS53&gt;10,MROUND((AS53/100*DLMAX),2.5)," ")," ")))</f>
        <v> </v>
      </c>
      <c r="AU53" s="27"/>
      <c r="AV53" s="66" t="str">
        <f>IFERROR((AT53/VLOOKUP(AU53,'RPE vs. %'!$D$3:$P$11,AR53+1,FALSE)),"")</f>
        <v/>
      </c>
      <c r="AW53" s="89"/>
      <c r="AX53" s="27"/>
      <c r="AY53" s="57" t="str">
        <f>IF(AN47="Squat",AQ47,"")</f>
        <v/>
      </c>
      <c r="AZ53" s="57" t="str">
        <f>IF(AN47="Squat",AQ47*AR47*AT47,"")</f>
        <v/>
      </c>
      <c r="BA53" s="57" t="str">
        <f>IF(AN47="Bench",AQ47,"")</f>
        <v/>
      </c>
      <c r="BB53" s="57" t="str">
        <f>IF(AN47="Bench",AQ47*AR47*AT47,"")</f>
        <v/>
      </c>
      <c r="BC53" s="56">
        <f>IF(AN47="Deadlift",AQ47,"")</f>
        <v>3</v>
      </c>
      <c r="BD53" s="56">
        <f>IF(AN47="Deadlift",AQ47*AR47*AT47,"")</f>
        <v>2070</v>
      </c>
      <c r="BE53" s="57" t="str">
        <f>IF(AO47="pecs",AQ47,"")</f>
        <v/>
      </c>
      <c r="BF53" s="57" t="str">
        <f>IF(AO47="pecs",AQ47*AR47*AT47,"")</f>
        <v/>
      </c>
      <c r="BG53" s="57" t="str">
        <f>IF(AO47="dos",AQ47,"")</f>
        <v/>
      </c>
      <c r="BH53" s="57" t="str">
        <f>IF(AO47="dos",AQ47*AR47*AT47,"")</f>
        <v/>
      </c>
      <c r="BI53" s="57" t="str">
        <f>IF(AO47="épaules",AQ47,"")</f>
        <v/>
      </c>
      <c r="BJ53" s="57" t="str">
        <f>IF(AO47="épaules",AQ47*AR47*AT47,"")</f>
        <v/>
      </c>
      <c r="BK53" s="57" t="str">
        <f>IF(AO47="biceps",AQ47,"")</f>
        <v/>
      </c>
      <c r="BL53" s="57" t="str">
        <f>IF(AO47="biceps",AQ47*AR47*AT47,"")</f>
        <v/>
      </c>
      <c r="BM53" s="57" t="str">
        <f>IF(AO47="triceps",AQ47,"")</f>
        <v/>
      </c>
      <c r="BN53" s="57" t="str">
        <f>IF(AO47="triceps",AQ47*AR47*AT47,"")</f>
        <v/>
      </c>
      <c r="BO53" s="57" t="str">
        <f>IF(AO47="quads",AQ47,"")</f>
        <v/>
      </c>
      <c r="BP53" s="57" t="str">
        <f>IF(AO47="quads",AQ47*AR47*AT47,"")</f>
        <v/>
      </c>
      <c r="BQ53" s="57" t="str">
        <f>IF(AO47="ischios",AQ47,"")</f>
        <v/>
      </c>
      <c r="BR53" s="57" t="str">
        <f>IF(AO47="ischios",AQ47*AR47*AT47,"")</f>
        <v/>
      </c>
      <c r="BS53" s="57" t="str">
        <f>IF(AO47="fessier",AQ47,"")</f>
        <v/>
      </c>
      <c r="BT53" s="57" t="str">
        <f>IF(AO47="fessier",AQ47*AR47*AT47,"")</f>
        <v/>
      </c>
      <c r="BU53" s="57" t="str">
        <f>IF(AO47="mollets",AQ47,"")</f>
        <v/>
      </c>
      <c r="BV53" s="57" t="str">
        <f>IF(AO47="mollets",AQ47*AR47*AT47,"")</f>
        <v/>
      </c>
      <c r="BW53" s="27"/>
      <c r="BX53" s="79" t="str">
        <f t="shared" ref="BX53:CB53" si="704">BX44</f>
        <v/>
      </c>
      <c r="BY53" s="79" t="str">
        <f t="shared" si="704"/>
        <v/>
      </c>
      <c r="BZ53" s="79" t="str">
        <f t="shared" si="704"/>
        <v/>
      </c>
      <c r="CA53" s="18" t="str">
        <f t="shared" si="704"/>
        <v/>
      </c>
      <c r="CB53" s="79" t="str">
        <f t="shared" si="704"/>
        <v/>
      </c>
      <c r="CC53" s="117" t="str">
        <f t="shared" si="694"/>
        <v/>
      </c>
      <c r="CD53" s="34" t="str">
        <f>IF(BX53="Squat",IF(CC53&gt;10,MROUND((CC53/100*SQMAX),2.5)," "),IF(BX53="Bench",IF(CC53&gt;10,MROUND((CC53/100*BNMAX),2.5)," "),IF(BX53="Deadlift",IF(CC53&gt;10,MROUND((CC53/100*DLMAX),2.5)," ")," ")))</f>
        <v> </v>
      </c>
      <c r="CE53" s="26"/>
      <c r="CF53" s="88" t="str">
        <f>IFERROR((CD53/VLOOKUP(CE53,'RPE vs. %'!$D$3:$P$11,CB53+1,FALSE)),"")</f>
        <v/>
      </c>
      <c r="CG53" s="89"/>
      <c r="CH53" s="27"/>
      <c r="CI53" s="56">
        <f>IF(BX47="Squat",CA47,"")</f>
        <v>3</v>
      </c>
      <c r="CJ53" s="56">
        <f>IF(BX47="Squat",CA47*CB47*CD47,"")</f>
        <v>2400</v>
      </c>
      <c r="CK53" s="57" t="str">
        <f>IF(BX47="Bench",CA47,"")</f>
        <v/>
      </c>
      <c r="CL53" s="57" t="str">
        <f>IF(BX47="Bench",CA47*CB47*CD47,"")</f>
        <v/>
      </c>
      <c r="CM53" s="57" t="str">
        <f>IF(BX47="Deadlift",CA47,"")</f>
        <v/>
      </c>
      <c r="CN53" s="57" t="str">
        <f>IF(BX47="Deadlift",CA47*CB47*CD47,"")</f>
        <v/>
      </c>
      <c r="CO53" s="57" t="str">
        <f>IF(BY47="pecs",CA47,"")</f>
        <v/>
      </c>
      <c r="CP53" s="57" t="str">
        <f>IF(BY47="pecs",CA47*CB47*CD47,"")</f>
        <v/>
      </c>
      <c r="CQ53" s="57" t="str">
        <f>IF(BY47="dos",CA47,"")</f>
        <v/>
      </c>
      <c r="CR53" s="57" t="str">
        <f>IF(BY47="dos",CA47*CB47*CD47,"")</f>
        <v/>
      </c>
      <c r="CS53" s="57" t="str">
        <f>IF(BY47="épaules",CA47,"")</f>
        <v/>
      </c>
      <c r="CT53" s="57" t="str">
        <f>IF(BY47="épaules",CA47*CB47*CD47,"")</f>
        <v/>
      </c>
      <c r="CU53" s="57" t="str">
        <f>IF(BY47="biceps",CA47,"")</f>
        <v/>
      </c>
      <c r="CV53" s="57" t="str">
        <f>IF(BY47="biceps",CA47*CB47*CD47,"")</f>
        <v/>
      </c>
      <c r="CW53" s="57" t="str">
        <f>IF(BY47="triceps",CA47,"")</f>
        <v/>
      </c>
      <c r="CX53" s="57" t="str">
        <f>IF(BY47="triceps",CA47*CB47*CD47,"")</f>
        <v/>
      </c>
      <c r="CY53" s="57" t="str">
        <f>IF(BY47="quads",CA47,"")</f>
        <v/>
      </c>
      <c r="CZ53" s="57" t="str">
        <f>IF(BY47="quads",CA47*CB47*CD47,"")</f>
        <v/>
      </c>
      <c r="DA53" s="57" t="str">
        <f>IF(BY47="ischios",CA47,"")</f>
        <v/>
      </c>
      <c r="DB53" s="57" t="str">
        <f>IF(BY47="ischios",CA47*CB47*CD47,"")</f>
        <v/>
      </c>
      <c r="DC53" s="57" t="str">
        <f>IF(BY47="fessier",CA47,"")</f>
        <v/>
      </c>
      <c r="DD53" s="57" t="str">
        <f>IF(BY47="fessier",CA47*CB47*CD47,"")</f>
        <v/>
      </c>
      <c r="DE53" s="57" t="str">
        <f>IF(BY47="mollets",CA47,"")</f>
        <v/>
      </c>
      <c r="DF53" s="57" t="str">
        <f>IF(BY47="mollets",CA47*CB47*CD47,"")</f>
        <v/>
      </c>
      <c r="DG53" s="27"/>
      <c r="DH53" s="130" t="str">
        <f t="shared" ref="DH53:DL53" si="705">DH44</f>
        <v/>
      </c>
      <c r="DI53" s="130" t="str">
        <f t="shared" si="705"/>
        <v/>
      </c>
      <c r="DJ53" s="130" t="str">
        <f t="shared" si="705"/>
        <v/>
      </c>
      <c r="DK53" s="18" t="str">
        <f t="shared" si="705"/>
        <v/>
      </c>
      <c r="DL53" s="130" t="str">
        <f t="shared" si="705"/>
        <v/>
      </c>
      <c r="DM53" s="119" t="str">
        <f t="shared" si="696"/>
        <v/>
      </c>
      <c r="DN53" s="34" t="str">
        <f>IF(DH53="Squat",IF(DM53&gt;10,MROUND((DM53/100*SQMAX),2.5)," "),IF(DH53="Bench",IF(DM53&gt;10,MROUND((DM53/100*BNMAX),2.5)," "),IF(DH53="Deadlift",IF(DM53&gt;10,MROUND((DM53/100*DLMAX),2.5)," ")," ")))</f>
        <v> </v>
      </c>
      <c r="DO53" s="27"/>
      <c r="DP53" s="88" t="str">
        <f>IFERROR((DN53/VLOOKUP(DO53,'RPE vs. %'!$D$3:$P$11,DL53+1,FALSE)),"")</f>
        <v/>
      </c>
      <c r="DQ53" s="89"/>
      <c r="DR53" s="27"/>
      <c r="DS53" s="27"/>
      <c r="DT53" s="134"/>
      <c r="DU53" s="134"/>
      <c r="DV53" s="134"/>
      <c r="DW53" s="134"/>
      <c r="DX53" s="134"/>
      <c r="DY53" s="134"/>
      <c r="DZ53" s="134"/>
      <c r="EA53" s="134"/>
      <c r="EB53" s="134"/>
      <c r="EC53" s="134"/>
      <c r="ED53" s="134"/>
      <c r="EE53" s="134"/>
      <c r="EF53" s="134"/>
      <c r="EG53" s="134"/>
      <c r="EH53" s="134"/>
      <c r="EI53" s="134"/>
      <c r="EJ53" s="134"/>
      <c r="EK53" s="134"/>
      <c r="EL53" s="134"/>
      <c r="EM53" s="134"/>
      <c r="EN53" s="134"/>
      <c r="EO53" s="134"/>
      <c r="EP53" s="134"/>
      <c r="EQ53" s="134"/>
      <c r="ER53" s="134"/>
      <c r="ES53" s="134"/>
      <c r="ET53" s="134"/>
      <c r="EU53" s="134"/>
      <c r="EV53" s="134"/>
      <c r="EW53" s="134"/>
      <c r="EX53" s="134"/>
      <c r="EY53" s="134"/>
      <c r="EZ53" s="134"/>
      <c r="FA53" s="134"/>
      <c r="FB53" s="134"/>
      <c r="FC53" s="134"/>
      <c r="FD53" s="134"/>
      <c r="FE53" s="134"/>
      <c r="FF53" s="134"/>
      <c r="FG53" s="134"/>
      <c r="FH53" s="134"/>
      <c r="FI53" s="134"/>
      <c r="FJ53" s="134"/>
      <c r="FK53" s="134"/>
      <c r="FL53" s="134"/>
      <c r="FM53" s="134"/>
      <c r="FN53" s="134"/>
      <c r="FO53" s="134"/>
    </row>
    <row r="54">
      <c r="A54" s="27"/>
      <c r="B54" s="27"/>
      <c r="C54" s="27"/>
      <c r="D54" s="26"/>
      <c r="E54" s="26"/>
      <c r="F54" s="26"/>
      <c r="G54" s="28"/>
      <c r="H54" s="26"/>
      <c r="I54" s="29"/>
      <c r="J54" s="26"/>
      <c r="K54" s="26"/>
      <c r="L54" s="26"/>
      <c r="M54" s="26"/>
      <c r="N54" s="27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27"/>
      <c r="AN54" s="26"/>
      <c r="AO54" s="26"/>
      <c r="AP54" s="26"/>
      <c r="AQ54" s="28"/>
      <c r="AR54" s="26"/>
      <c r="AS54" s="29"/>
      <c r="AT54" s="26"/>
      <c r="AU54" s="26"/>
      <c r="AV54" s="26"/>
      <c r="AW54" s="26"/>
      <c r="AX54" s="27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27"/>
      <c r="BX54" s="26"/>
      <c r="BY54" s="26"/>
      <c r="BZ54" s="26"/>
      <c r="CA54" s="28"/>
      <c r="CB54" s="26"/>
      <c r="CC54" s="29"/>
      <c r="CD54" s="26"/>
      <c r="CE54" s="26"/>
      <c r="CF54" s="26"/>
      <c r="CG54" s="26"/>
      <c r="CH54" s="27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134"/>
      <c r="DB54" s="134"/>
      <c r="DC54" s="134"/>
      <c r="DD54" s="134"/>
      <c r="DE54" s="134"/>
      <c r="DF54" s="134"/>
      <c r="DG54" s="27"/>
      <c r="DH54" s="26"/>
      <c r="DI54" s="26"/>
      <c r="DJ54" s="26"/>
      <c r="DK54" s="28"/>
      <c r="DL54" s="26"/>
      <c r="DM54" s="36"/>
      <c r="DN54" s="26"/>
      <c r="DO54" s="26"/>
      <c r="DP54" s="26"/>
      <c r="DQ54" s="26"/>
      <c r="DR54" s="27"/>
      <c r="DS54" s="27"/>
      <c r="DT54" s="134"/>
      <c r="DU54" s="134"/>
      <c r="DV54" s="134"/>
      <c r="DW54" s="134"/>
      <c r="DX54" s="134"/>
      <c r="DY54" s="134"/>
      <c r="DZ54" s="134"/>
      <c r="EA54" s="134"/>
      <c r="EB54" s="134"/>
      <c r="EC54" s="134"/>
      <c r="ED54" s="134"/>
      <c r="EE54" s="134"/>
      <c r="EF54" s="134"/>
      <c r="EG54" s="134"/>
      <c r="EH54" s="134"/>
      <c r="EI54" s="134"/>
      <c r="EJ54" s="134"/>
      <c r="EK54" s="134"/>
      <c r="EL54" s="134"/>
      <c r="EM54" s="134"/>
      <c r="EN54" s="134"/>
      <c r="EO54" s="134"/>
      <c r="EP54" s="134"/>
      <c r="EQ54" s="134"/>
      <c r="ER54" s="134"/>
      <c r="ES54" s="134"/>
      <c r="ET54" s="134"/>
      <c r="EU54" s="134"/>
      <c r="EV54" s="134"/>
      <c r="EW54" s="134"/>
      <c r="EX54" s="134"/>
      <c r="EY54" s="134"/>
      <c r="EZ54" s="134"/>
      <c r="FA54" s="134"/>
      <c r="FB54" s="134"/>
      <c r="FC54" s="134"/>
      <c r="FD54" s="134"/>
      <c r="FE54" s="134"/>
      <c r="FF54" s="134"/>
      <c r="FG54" s="134"/>
      <c r="FH54" s="134"/>
      <c r="FI54" s="134"/>
      <c r="FJ54" s="134"/>
      <c r="FK54" s="134"/>
      <c r="FL54" s="134"/>
      <c r="FM54" s="134"/>
      <c r="FN54" s="134"/>
      <c r="FO54" s="134"/>
    </row>
    <row r="55">
      <c r="A55" s="27"/>
      <c r="B55" s="26"/>
      <c r="C55" s="26"/>
      <c r="D55" s="26"/>
      <c r="E55" s="26"/>
      <c r="F55" s="26"/>
      <c r="G55" s="28"/>
      <c r="H55" s="26"/>
      <c r="I55" s="29"/>
      <c r="J55" s="26"/>
      <c r="K55" s="26"/>
      <c r="L55" s="90"/>
      <c r="M55" s="26"/>
      <c r="N55" s="27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27"/>
      <c r="AN55" s="26"/>
      <c r="AO55" s="26"/>
      <c r="AP55" s="26"/>
      <c r="AQ55" s="28"/>
      <c r="AR55" s="26"/>
      <c r="AS55" s="29"/>
      <c r="AT55" s="26"/>
      <c r="AU55" s="26"/>
      <c r="AV55" s="90"/>
      <c r="AW55" s="26"/>
      <c r="AX55" s="27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27"/>
      <c r="BX55" s="26"/>
      <c r="BY55" s="26"/>
      <c r="BZ55" s="26"/>
      <c r="CA55" s="28"/>
      <c r="CB55" s="26"/>
      <c r="CC55" s="29"/>
      <c r="CD55" s="26"/>
      <c r="CE55" s="26"/>
      <c r="CF55" s="90"/>
      <c r="CG55" s="26"/>
      <c r="CH55" s="27"/>
      <c r="CI55" s="134"/>
      <c r="CJ55" s="134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  <c r="CY55" s="134"/>
      <c r="CZ55" s="134"/>
      <c r="DA55" s="134"/>
      <c r="DB55" s="134"/>
      <c r="DC55" s="134"/>
      <c r="DD55" s="134"/>
      <c r="DE55" s="134"/>
      <c r="DF55" s="134"/>
      <c r="DG55" s="27"/>
      <c r="DH55" s="26"/>
      <c r="DI55" s="26"/>
      <c r="DJ55" s="26"/>
      <c r="DK55" s="28"/>
      <c r="DL55" s="26"/>
      <c r="DM55" s="36"/>
      <c r="DN55" s="26"/>
      <c r="DO55" s="26"/>
      <c r="DP55" s="90"/>
      <c r="DQ55" s="26"/>
      <c r="DR55" s="27"/>
      <c r="DS55" s="27"/>
      <c r="DT55" s="134"/>
      <c r="DU55" s="134"/>
      <c r="DV55" s="134"/>
      <c r="DW55" s="134"/>
      <c r="DX55" s="134"/>
      <c r="DY55" s="134"/>
      <c r="DZ55" s="134"/>
      <c r="EA55" s="134"/>
      <c r="EB55" s="134"/>
      <c r="EC55" s="134"/>
      <c r="ED55" s="134"/>
      <c r="EE55" s="134"/>
      <c r="EF55" s="134"/>
      <c r="EG55" s="134"/>
      <c r="EH55" s="134"/>
      <c r="EI55" s="134"/>
      <c r="EJ55" s="134"/>
      <c r="EK55" s="134"/>
      <c r="EL55" s="134"/>
      <c r="EM55" s="134"/>
      <c r="EN55" s="134"/>
      <c r="EO55" s="134"/>
      <c r="EP55" s="134"/>
      <c r="EQ55" s="134"/>
      <c r="ER55" s="134"/>
      <c r="ES55" s="134"/>
      <c r="ET55" s="134"/>
      <c r="EU55" s="134"/>
      <c r="EV55" s="134"/>
      <c r="EW55" s="134"/>
      <c r="EX55" s="134"/>
      <c r="EY55" s="134"/>
      <c r="EZ55" s="134"/>
      <c r="FA55" s="134"/>
      <c r="FB55" s="134"/>
      <c r="FC55" s="134"/>
      <c r="FD55" s="134"/>
      <c r="FE55" s="134"/>
      <c r="FF55" s="134"/>
      <c r="FG55" s="134"/>
      <c r="FH55" s="134"/>
      <c r="FI55" s="134"/>
      <c r="FJ55" s="134"/>
      <c r="FK55" s="134"/>
      <c r="FL55" s="134"/>
      <c r="FM55" s="134"/>
      <c r="FN55" s="134"/>
      <c r="FO55" s="134"/>
    </row>
    <row r="56">
      <c r="A56" s="27"/>
      <c r="B56" s="26"/>
      <c r="C56" s="26"/>
      <c r="D56" s="26"/>
      <c r="E56" s="26"/>
      <c r="F56" s="26"/>
      <c r="G56" s="28"/>
      <c r="H56" s="26"/>
      <c r="I56" s="29"/>
      <c r="J56" s="26"/>
      <c r="K56" s="26"/>
      <c r="L56" s="90"/>
      <c r="M56" s="26"/>
      <c r="N56" s="27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27"/>
      <c r="AN56" s="26"/>
      <c r="AO56" s="26"/>
      <c r="AP56" s="26"/>
      <c r="AQ56" s="28"/>
      <c r="AR56" s="26"/>
      <c r="AS56" s="29"/>
      <c r="AT56" s="26"/>
      <c r="AU56" s="26"/>
      <c r="AV56" s="90"/>
      <c r="AW56" s="26"/>
      <c r="AX56" s="27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27"/>
      <c r="BX56" s="26"/>
      <c r="BY56" s="26"/>
      <c r="BZ56" s="26"/>
      <c r="CA56" s="28"/>
      <c r="CB56" s="26"/>
      <c r="CC56" s="29"/>
      <c r="CD56" s="26"/>
      <c r="CE56" s="26"/>
      <c r="CF56" s="90"/>
      <c r="CG56" s="26"/>
      <c r="CH56" s="27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  <c r="CY56" s="134"/>
      <c r="CZ56" s="134"/>
      <c r="DA56" s="134"/>
      <c r="DB56" s="134"/>
      <c r="DC56" s="134"/>
      <c r="DD56" s="134"/>
      <c r="DE56" s="134"/>
      <c r="DF56" s="134"/>
      <c r="DG56" s="27"/>
      <c r="DH56" s="26"/>
      <c r="DI56" s="26"/>
      <c r="DJ56" s="26"/>
      <c r="DK56" s="28"/>
      <c r="DL56" s="26"/>
      <c r="DM56" s="36"/>
      <c r="DN56" s="26"/>
      <c r="DO56" s="26"/>
      <c r="DP56" s="90"/>
      <c r="DQ56" s="26"/>
      <c r="DR56" s="27"/>
      <c r="DS56" s="27"/>
      <c r="DT56" s="134"/>
      <c r="DU56" s="134"/>
      <c r="DV56" s="134"/>
      <c r="DW56" s="134"/>
      <c r="DX56" s="134"/>
      <c r="DY56" s="134"/>
      <c r="DZ56" s="134"/>
      <c r="EA56" s="134"/>
      <c r="EB56" s="134"/>
      <c r="EC56" s="134"/>
      <c r="ED56" s="134"/>
      <c r="EE56" s="134"/>
      <c r="EF56" s="134"/>
      <c r="EG56" s="134"/>
      <c r="EH56" s="134"/>
      <c r="EI56" s="134"/>
      <c r="EJ56" s="134"/>
      <c r="EK56" s="134"/>
      <c r="EL56" s="134"/>
      <c r="EM56" s="134"/>
      <c r="EN56" s="134"/>
      <c r="EO56" s="134"/>
      <c r="EP56" s="134"/>
      <c r="EQ56" s="134"/>
      <c r="ER56" s="134"/>
      <c r="ES56" s="134"/>
      <c r="ET56" s="134"/>
      <c r="EU56" s="134"/>
      <c r="EV56" s="134"/>
      <c r="EW56" s="134"/>
      <c r="EX56" s="134"/>
      <c r="EY56" s="134"/>
      <c r="EZ56" s="134"/>
      <c r="FA56" s="134"/>
      <c r="FB56" s="134"/>
      <c r="FC56" s="134"/>
      <c r="FD56" s="134"/>
      <c r="FE56" s="134"/>
      <c r="FF56" s="134"/>
      <c r="FG56" s="134"/>
      <c r="FH56" s="134"/>
      <c r="FI56" s="134"/>
      <c r="FJ56" s="134"/>
      <c r="FK56" s="134"/>
      <c r="FL56" s="134"/>
      <c r="FM56" s="134"/>
      <c r="FN56" s="134"/>
      <c r="FO56" s="134"/>
    </row>
    <row r="57">
      <c r="A57" s="27"/>
      <c r="B57" s="26"/>
      <c r="C57" s="26"/>
      <c r="D57" s="26"/>
      <c r="E57" s="26"/>
      <c r="F57" s="26"/>
      <c r="G57" s="28"/>
      <c r="H57" s="26"/>
      <c r="I57" s="29"/>
      <c r="J57" s="26"/>
      <c r="K57" s="26"/>
      <c r="L57" s="90"/>
      <c r="M57" s="26"/>
      <c r="N57" s="27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27"/>
      <c r="AN57" s="26"/>
      <c r="AO57" s="26"/>
      <c r="AP57" s="26"/>
      <c r="AQ57" s="28"/>
      <c r="AR57" s="26"/>
      <c r="AS57" s="29"/>
      <c r="AT57" s="26"/>
      <c r="AU57" s="26"/>
      <c r="AV57" s="90"/>
      <c r="AW57" s="26"/>
      <c r="AX57" s="27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27"/>
      <c r="BX57" s="26"/>
      <c r="BY57" s="26"/>
      <c r="BZ57" s="26"/>
      <c r="CA57" s="28"/>
      <c r="CB57" s="26"/>
      <c r="CC57" s="29"/>
      <c r="CD57" s="26"/>
      <c r="CE57" s="26"/>
      <c r="CF57" s="90"/>
      <c r="CG57" s="26"/>
      <c r="CH57" s="27"/>
      <c r="CI57" s="134"/>
      <c r="CJ57" s="134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  <c r="CY57" s="134"/>
      <c r="CZ57" s="134"/>
      <c r="DA57" s="134"/>
      <c r="DB57" s="134"/>
      <c r="DC57" s="134"/>
      <c r="DD57" s="134"/>
      <c r="DE57" s="134"/>
      <c r="DF57" s="134"/>
      <c r="DG57" s="27"/>
      <c r="DH57" s="26"/>
      <c r="DI57" s="26"/>
      <c r="DJ57" s="26"/>
      <c r="DK57" s="28"/>
      <c r="DL57" s="26"/>
      <c r="DM57" s="36"/>
      <c r="DN57" s="26"/>
      <c r="DO57" s="26"/>
      <c r="DP57" s="90"/>
      <c r="DQ57" s="26"/>
      <c r="DR57" s="27"/>
      <c r="DS57" s="27"/>
      <c r="DT57" s="134"/>
      <c r="DU57" s="134"/>
      <c r="DV57" s="134"/>
      <c r="DW57" s="134"/>
      <c r="DX57" s="134"/>
      <c r="DY57" s="134"/>
      <c r="DZ57" s="134"/>
      <c r="EA57" s="134"/>
      <c r="EB57" s="134"/>
      <c r="EC57" s="134"/>
      <c r="ED57" s="134"/>
      <c r="EE57" s="134"/>
      <c r="EF57" s="134"/>
      <c r="EG57" s="134"/>
      <c r="EH57" s="134"/>
      <c r="EI57" s="134"/>
      <c r="EJ57" s="134"/>
      <c r="EK57" s="134"/>
      <c r="EL57" s="134"/>
      <c r="EM57" s="134"/>
      <c r="EN57" s="134"/>
      <c r="EO57" s="134"/>
      <c r="EP57" s="134"/>
      <c r="EQ57" s="134"/>
      <c r="ER57" s="134"/>
      <c r="ES57" s="134"/>
      <c r="ET57" s="134"/>
      <c r="EU57" s="134"/>
      <c r="EV57" s="134"/>
      <c r="EW57" s="134"/>
      <c r="EX57" s="134"/>
      <c r="EY57" s="134"/>
      <c r="EZ57" s="134"/>
      <c r="FA57" s="134"/>
      <c r="FB57" s="134"/>
      <c r="FC57" s="134"/>
      <c r="FD57" s="134"/>
      <c r="FE57" s="134"/>
      <c r="FF57" s="134"/>
      <c r="FG57" s="134"/>
      <c r="FH57" s="134"/>
      <c r="FI57" s="134"/>
      <c r="FJ57" s="134"/>
      <c r="FK57" s="134"/>
      <c r="FL57" s="134"/>
      <c r="FM57" s="134"/>
      <c r="FN57" s="134"/>
      <c r="FO57" s="134"/>
    </row>
    <row r="58">
      <c r="A58" s="27"/>
      <c r="B58" s="26"/>
      <c r="C58" s="26"/>
      <c r="D58" s="26"/>
      <c r="E58" s="26"/>
      <c r="F58" s="26"/>
      <c r="G58" s="28"/>
      <c r="H58" s="26"/>
      <c r="I58" s="29"/>
      <c r="J58" s="26"/>
      <c r="K58" s="26"/>
      <c r="L58" s="90"/>
      <c r="M58" s="26"/>
      <c r="N58" s="27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7"/>
      <c r="AN58" s="26"/>
      <c r="AO58" s="26"/>
      <c r="AP58" s="26"/>
      <c r="AQ58" s="28"/>
      <c r="AR58" s="26"/>
      <c r="AS58" s="29"/>
      <c r="AT58" s="26"/>
      <c r="AU58" s="26"/>
      <c r="AV58" s="90"/>
      <c r="AW58" s="26"/>
      <c r="AX58" s="27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7"/>
      <c r="BX58" s="26"/>
      <c r="BY58" s="26"/>
      <c r="BZ58" s="26"/>
      <c r="CA58" s="28"/>
      <c r="CB58" s="26"/>
      <c r="CC58" s="29"/>
      <c r="CD58" s="26"/>
      <c r="CE58" s="26"/>
      <c r="CF58" s="90"/>
      <c r="CG58" s="26"/>
      <c r="CH58" s="27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7"/>
      <c r="DH58" s="26"/>
      <c r="DI58" s="26"/>
      <c r="DJ58" s="26"/>
      <c r="DK58" s="28"/>
      <c r="DL58" s="26"/>
      <c r="DM58" s="36"/>
      <c r="DN58" s="26"/>
      <c r="DO58" s="26"/>
      <c r="DP58" s="90"/>
      <c r="DQ58" s="26"/>
      <c r="DR58" s="27"/>
      <c r="DS58" s="27"/>
      <c r="DT58" s="134"/>
      <c r="DU58" s="134"/>
      <c r="DV58" s="134"/>
      <c r="DW58" s="134"/>
      <c r="DX58" s="134"/>
      <c r="DY58" s="134"/>
      <c r="DZ58" s="134"/>
      <c r="EA58" s="134"/>
      <c r="EB58" s="134"/>
      <c r="EC58" s="134"/>
      <c r="ED58" s="134"/>
      <c r="EE58" s="134"/>
      <c r="EF58" s="134"/>
      <c r="EG58" s="134"/>
      <c r="EH58" s="134"/>
      <c r="EI58" s="134"/>
      <c r="EJ58" s="134"/>
      <c r="EK58" s="134"/>
      <c r="EL58" s="134"/>
      <c r="EM58" s="134"/>
      <c r="EN58" s="134"/>
      <c r="EO58" s="134"/>
      <c r="EP58" s="134"/>
      <c r="EQ58" s="134"/>
      <c r="ER58" s="134"/>
      <c r="ES58" s="134"/>
      <c r="ET58" s="134"/>
      <c r="EU58" s="134"/>
      <c r="EV58" s="134"/>
      <c r="EW58" s="134"/>
      <c r="EX58" s="134"/>
      <c r="EY58" s="134"/>
      <c r="EZ58" s="134"/>
      <c r="FA58" s="134"/>
      <c r="FB58" s="134"/>
      <c r="FC58" s="134"/>
      <c r="FD58" s="134"/>
      <c r="FE58" s="134"/>
      <c r="FF58" s="134"/>
      <c r="FG58" s="134"/>
      <c r="FH58" s="134"/>
      <c r="FI58" s="134"/>
      <c r="FJ58" s="134"/>
      <c r="FK58" s="134"/>
      <c r="FL58" s="134"/>
      <c r="FM58" s="134"/>
      <c r="FN58" s="134"/>
      <c r="FO58" s="134"/>
    </row>
    <row r="59">
      <c r="A59" s="27"/>
      <c r="B59" s="26"/>
      <c r="C59" s="26"/>
      <c r="D59" s="26"/>
      <c r="E59" s="26"/>
      <c r="F59" s="26"/>
      <c r="G59" s="28"/>
      <c r="H59" s="26"/>
      <c r="I59" s="29"/>
      <c r="J59" s="26"/>
      <c r="K59" s="26"/>
      <c r="L59" s="90"/>
      <c r="M59" s="26"/>
      <c r="N59" s="27"/>
      <c r="O59" s="26"/>
      <c r="P59" s="26"/>
      <c r="Q59" s="26"/>
      <c r="R59" s="26"/>
      <c r="S59" s="26"/>
      <c r="T59" s="26"/>
      <c r="U59" s="28"/>
      <c r="V59" s="28"/>
      <c r="W59" s="26"/>
      <c r="X59" s="26"/>
      <c r="Y59" s="36"/>
      <c r="Z59" s="3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7"/>
      <c r="AN59" s="26"/>
      <c r="AO59" s="26"/>
      <c r="AP59" s="26"/>
      <c r="AQ59" s="28"/>
      <c r="AR59" s="26"/>
      <c r="AS59" s="29"/>
      <c r="AT59" s="26"/>
      <c r="AU59" s="26"/>
      <c r="AV59" s="90"/>
      <c r="AW59" s="26"/>
      <c r="AX59" s="27"/>
      <c r="AY59" s="26"/>
      <c r="AZ59" s="26"/>
      <c r="BA59" s="26"/>
      <c r="BB59" s="26"/>
      <c r="BC59" s="26"/>
      <c r="BD59" s="26"/>
      <c r="BE59" s="28"/>
      <c r="BF59" s="28"/>
      <c r="BG59" s="26"/>
      <c r="BH59" s="26"/>
      <c r="BI59" s="36"/>
      <c r="BJ59" s="3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7"/>
      <c r="BX59" s="26"/>
      <c r="BY59" s="26"/>
      <c r="BZ59" s="26"/>
      <c r="CA59" s="28"/>
      <c r="CB59" s="26"/>
      <c r="CC59" s="29"/>
      <c r="CD59" s="26"/>
      <c r="CE59" s="26"/>
      <c r="CF59" s="90"/>
      <c r="CG59" s="26"/>
      <c r="CH59" s="27"/>
      <c r="CI59" s="26"/>
      <c r="CJ59" s="26"/>
      <c r="CK59" s="26"/>
      <c r="CL59" s="26"/>
      <c r="CM59" s="26"/>
      <c r="CN59" s="26"/>
      <c r="CO59" s="28"/>
      <c r="CP59" s="28"/>
      <c r="CQ59" s="26"/>
      <c r="CR59" s="26"/>
      <c r="CS59" s="36"/>
      <c r="CT59" s="3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7"/>
      <c r="DH59" s="26"/>
      <c r="DI59" s="26"/>
      <c r="DJ59" s="26"/>
      <c r="DK59" s="28"/>
      <c r="DL59" s="26"/>
      <c r="DM59" s="36"/>
      <c r="DN59" s="26"/>
      <c r="DO59" s="26"/>
      <c r="DP59" s="90"/>
      <c r="DQ59" s="26"/>
      <c r="DR59" s="27"/>
      <c r="DS59" s="27"/>
      <c r="DT59" s="134"/>
      <c r="DU59" s="134"/>
      <c r="DV59" s="134"/>
      <c r="DW59" s="134"/>
      <c r="DX59" s="134"/>
      <c r="DY59" s="134"/>
      <c r="DZ59" s="134"/>
      <c r="EA59" s="134"/>
      <c r="EB59" s="134"/>
      <c r="EC59" s="134"/>
      <c r="ED59" s="134"/>
      <c r="EE59" s="134"/>
      <c r="EF59" s="134"/>
      <c r="EG59" s="134"/>
      <c r="EH59" s="134"/>
      <c r="EI59" s="134"/>
      <c r="EJ59" s="134"/>
      <c r="EK59" s="134"/>
      <c r="EL59" s="134"/>
      <c r="EM59" s="134"/>
      <c r="EN59" s="134"/>
      <c r="EO59" s="134"/>
      <c r="EP59" s="134"/>
      <c r="EQ59" s="134"/>
      <c r="ER59" s="134"/>
      <c r="ES59" s="134"/>
      <c r="ET59" s="134"/>
      <c r="EU59" s="134"/>
      <c r="EV59" s="134"/>
      <c r="EW59" s="134"/>
      <c r="EX59" s="134"/>
      <c r="EY59" s="134"/>
      <c r="EZ59" s="134"/>
      <c r="FA59" s="134"/>
      <c r="FB59" s="134"/>
      <c r="FC59" s="134"/>
      <c r="FD59" s="134"/>
      <c r="FE59" s="134"/>
      <c r="FF59" s="134"/>
      <c r="FG59" s="134"/>
      <c r="FH59" s="134"/>
      <c r="FI59" s="134"/>
      <c r="FJ59" s="134"/>
      <c r="FK59" s="134"/>
      <c r="FL59" s="134"/>
      <c r="FM59" s="134"/>
      <c r="FN59" s="134"/>
      <c r="FO59" s="134"/>
    </row>
    <row r="60">
      <c r="A60" s="27"/>
      <c r="B60" s="26"/>
      <c r="C60" s="26"/>
      <c r="D60" s="26"/>
      <c r="E60" s="26"/>
      <c r="F60" s="26"/>
      <c r="G60" s="28"/>
      <c r="H60" s="26"/>
      <c r="I60" s="29"/>
      <c r="J60" s="26"/>
      <c r="K60" s="26"/>
      <c r="L60" s="90"/>
      <c r="M60" s="26"/>
      <c r="N60" s="27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7"/>
      <c r="AN60" s="26"/>
      <c r="AO60" s="26"/>
      <c r="AP60" s="26"/>
      <c r="AQ60" s="28"/>
      <c r="AR60" s="26"/>
      <c r="AS60" s="29"/>
      <c r="AT60" s="26"/>
      <c r="AU60" s="26"/>
      <c r="AV60" s="90"/>
      <c r="AW60" s="26"/>
      <c r="AX60" s="27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7"/>
      <c r="BX60" s="26"/>
      <c r="BY60" s="26"/>
      <c r="BZ60" s="26"/>
      <c r="CA60" s="28"/>
      <c r="CB60" s="26"/>
      <c r="CC60" s="29"/>
      <c r="CD60" s="26"/>
      <c r="CE60" s="26"/>
      <c r="CF60" s="90"/>
      <c r="CG60" s="26"/>
      <c r="CH60" s="27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7"/>
      <c r="DH60" s="26"/>
      <c r="DI60" s="26"/>
      <c r="DJ60" s="26"/>
      <c r="DK60" s="28"/>
      <c r="DL60" s="26"/>
      <c r="DM60" s="36"/>
      <c r="DN60" s="26"/>
      <c r="DO60" s="26"/>
      <c r="DP60" s="90"/>
      <c r="DQ60" s="26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</row>
    <row r="61">
      <c r="A61" s="27"/>
      <c r="B61" s="26"/>
      <c r="C61" s="26"/>
      <c r="D61" s="26"/>
      <c r="E61" s="26"/>
      <c r="F61" s="26"/>
      <c r="G61" s="28"/>
      <c r="H61" s="26"/>
      <c r="I61" s="29"/>
      <c r="J61" s="26"/>
      <c r="K61" s="26"/>
      <c r="L61" s="90"/>
      <c r="M61" s="26"/>
      <c r="N61" s="27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27"/>
      <c r="AN61" s="26"/>
      <c r="AO61" s="26"/>
      <c r="AP61" s="26"/>
      <c r="AQ61" s="28"/>
      <c r="AR61" s="26"/>
      <c r="AS61" s="29"/>
      <c r="AT61" s="26"/>
      <c r="AU61" s="26"/>
      <c r="AV61" s="90"/>
      <c r="AW61" s="26"/>
      <c r="AX61" s="27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4"/>
      <c r="BO61" s="134"/>
      <c r="BP61" s="134"/>
      <c r="BQ61" s="134"/>
      <c r="BR61" s="134"/>
      <c r="BS61" s="134"/>
      <c r="BT61" s="134"/>
      <c r="BU61" s="134"/>
      <c r="BV61" s="134"/>
      <c r="BW61" s="27"/>
      <c r="BX61" s="26"/>
      <c r="BY61" s="26"/>
      <c r="BZ61" s="26"/>
      <c r="CA61" s="28"/>
      <c r="CB61" s="26"/>
      <c r="CC61" s="29"/>
      <c r="CD61" s="26"/>
      <c r="CE61" s="26"/>
      <c r="CF61" s="90"/>
      <c r="CG61" s="26"/>
      <c r="CH61" s="27"/>
      <c r="CI61" s="134"/>
      <c r="CJ61" s="134"/>
      <c r="CK61" s="134"/>
      <c r="CL61" s="134"/>
      <c r="CM61" s="134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4"/>
      <c r="CY61" s="134"/>
      <c r="CZ61" s="134"/>
      <c r="DA61" s="134"/>
      <c r="DB61" s="134"/>
      <c r="DC61" s="134"/>
      <c r="DD61" s="134"/>
      <c r="DE61" s="134"/>
      <c r="DF61" s="134"/>
      <c r="DG61" s="27"/>
      <c r="DH61" s="26"/>
      <c r="DI61" s="26"/>
      <c r="DJ61" s="26"/>
      <c r="DK61" s="28"/>
      <c r="DL61" s="26"/>
      <c r="DM61" s="36"/>
      <c r="DN61" s="26"/>
      <c r="DO61" s="26"/>
      <c r="DP61" s="90"/>
      <c r="DQ61" s="26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</row>
    <row r="62">
      <c r="A62" s="27"/>
      <c r="B62" s="26"/>
      <c r="C62" s="26"/>
      <c r="D62" s="26"/>
      <c r="E62" s="26"/>
      <c r="F62" s="26"/>
      <c r="G62" s="28"/>
      <c r="H62" s="26"/>
      <c r="I62" s="29"/>
      <c r="J62" s="26"/>
      <c r="K62" s="26"/>
      <c r="L62" s="90"/>
      <c r="M62" s="26"/>
      <c r="N62" s="27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27"/>
      <c r="AN62" s="26"/>
      <c r="AO62" s="26"/>
      <c r="AP62" s="26"/>
      <c r="AQ62" s="28"/>
      <c r="AR62" s="26"/>
      <c r="AS62" s="29"/>
      <c r="AT62" s="26"/>
      <c r="AU62" s="26"/>
      <c r="AV62" s="90"/>
      <c r="AW62" s="26"/>
      <c r="AX62" s="27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34"/>
      <c r="BS62" s="134"/>
      <c r="BT62" s="134"/>
      <c r="BU62" s="134"/>
      <c r="BV62" s="134"/>
      <c r="BW62" s="27"/>
      <c r="BX62" s="26"/>
      <c r="BY62" s="26"/>
      <c r="BZ62" s="26"/>
      <c r="CA62" s="28"/>
      <c r="CB62" s="26"/>
      <c r="CC62" s="29"/>
      <c r="CD62" s="26"/>
      <c r="CE62" s="26"/>
      <c r="CF62" s="90"/>
      <c r="CG62" s="26"/>
      <c r="CH62" s="27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  <c r="CY62" s="134"/>
      <c r="CZ62" s="134"/>
      <c r="DA62" s="134"/>
      <c r="DB62" s="134"/>
      <c r="DC62" s="134"/>
      <c r="DD62" s="134"/>
      <c r="DE62" s="134"/>
      <c r="DF62" s="134"/>
      <c r="DG62" s="27"/>
      <c r="DH62" s="26"/>
      <c r="DI62" s="26"/>
      <c r="DJ62" s="26"/>
      <c r="DK62" s="28"/>
      <c r="DL62" s="26"/>
      <c r="DM62" s="36"/>
      <c r="DN62" s="26"/>
      <c r="DO62" s="26"/>
      <c r="DP62" s="90"/>
      <c r="DQ62" s="26"/>
      <c r="DR62" s="27"/>
      <c r="DS62" s="27"/>
      <c r="DT62" s="134"/>
      <c r="DU62" s="134"/>
      <c r="DV62" s="134"/>
      <c r="DW62" s="134"/>
      <c r="DX62" s="134"/>
      <c r="DY62" s="134"/>
      <c r="DZ62" s="134"/>
      <c r="EA62" s="134"/>
      <c r="EB62" s="134"/>
      <c r="EC62" s="134"/>
      <c r="ED62" s="134"/>
      <c r="EE62" s="134"/>
      <c r="EF62" s="134"/>
      <c r="EG62" s="134"/>
      <c r="EH62" s="134"/>
      <c r="EI62" s="134"/>
      <c r="EJ62" s="134"/>
      <c r="EK62" s="134"/>
      <c r="EL62" s="134"/>
      <c r="EM62" s="134"/>
      <c r="EN62" s="134"/>
      <c r="EO62" s="134"/>
      <c r="EP62" s="134"/>
      <c r="EQ62" s="134"/>
      <c r="ER62" s="134"/>
      <c r="ES62" s="134"/>
      <c r="ET62" s="134"/>
      <c r="EU62" s="134"/>
      <c r="EV62" s="134"/>
      <c r="EW62" s="134"/>
      <c r="EX62" s="134"/>
      <c r="EY62" s="134"/>
      <c r="EZ62" s="134"/>
      <c r="FA62" s="134"/>
      <c r="FB62" s="134"/>
      <c r="FC62" s="134"/>
      <c r="FD62" s="134"/>
      <c r="FE62" s="134"/>
      <c r="FF62" s="134"/>
      <c r="FG62" s="134"/>
      <c r="FH62" s="134"/>
      <c r="FI62" s="134"/>
      <c r="FJ62" s="134"/>
      <c r="FK62" s="134"/>
      <c r="FL62" s="134"/>
      <c r="FM62" s="134"/>
      <c r="FN62" s="134"/>
      <c r="FO62" s="134"/>
    </row>
    <row r="63">
      <c r="A63" s="27"/>
      <c r="B63" s="26"/>
      <c r="C63" s="26"/>
      <c r="D63" s="26"/>
      <c r="E63" s="26"/>
      <c r="F63" s="26"/>
      <c r="G63" s="28"/>
      <c r="H63" s="26"/>
      <c r="I63" s="29"/>
      <c r="J63" s="26"/>
      <c r="K63" s="26"/>
      <c r="L63" s="90"/>
      <c r="M63" s="26"/>
      <c r="N63" s="27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27"/>
      <c r="AN63" s="26"/>
      <c r="AO63" s="26"/>
      <c r="AP63" s="26"/>
      <c r="AQ63" s="28"/>
      <c r="AR63" s="26"/>
      <c r="AS63" s="29"/>
      <c r="AT63" s="26"/>
      <c r="AU63" s="26"/>
      <c r="AV63" s="90"/>
      <c r="AW63" s="26"/>
      <c r="AX63" s="27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4"/>
      <c r="BO63" s="134"/>
      <c r="BP63" s="134"/>
      <c r="BQ63" s="134"/>
      <c r="BR63" s="134"/>
      <c r="BS63" s="134"/>
      <c r="BT63" s="134"/>
      <c r="BU63" s="134"/>
      <c r="BV63" s="134"/>
      <c r="BW63" s="27"/>
      <c r="BX63" s="26"/>
      <c r="BY63" s="26"/>
      <c r="BZ63" s="26"/>
      <c r="CA63" s="28"/>
      <c r="CB63" s="26"/>
      <c r="CC63" s="29"/>
      <c r="CD63" s="26"/>
      <c r="CE63" s="26"/>
      <c r="CF63" s="90"/>
      <c r="CG63" s="26"/>
      <c r="CH63" s="27"/>
      <c r="CI63" s="134"/>
      <c r="CJ63" s="134"/>
      <c r="CK63" s="134"/>
      <c r="CL63" s="134"/>
      <c r="CM63" s="134"/>
      <c r="CN63" s="134"/>
      <c r="CO63" s="134"/>
      <c r="CP63" s="134"/>
      <c r="CQ63" s="134"/>
      <c r="CR63" s="134"/>
      <c r="CS63" s="134"/>
      <c r="CT63" s="134"/>
      <c r="CU63" s="134"/>
      <c r="CV63" s="134"/>
      <c r="CW63" s="134"/>
      <c r="CX63" s="134"/>
      <c r="CY63" s="134"/>
      <c r="CZ63" s="134"/>
      <c r="DA63" s="134"/>
      <c r="DB63" s="134"/>
      <c r="DC63" s="134"/>
      <c r="DD63" s="134"/>
      <c r="DE63" s="134"/>
      <c r="DF63" s="134"/>
      <c r="DG63" s="27"/>
      <c r="DH63" s="26"/>
      <c r="DI63" s="26"/>
      <c r="DJ63" s="26"/>
      <c r="DK63" s="28"/>
      <c r="DL63" s="26"/>
      <c r="DM63" s="36"/>
      <c r="DN63" s="26"/>
      <c r="DO63" s="26"/>
      <c r="DP63" s="90"/>
      <c r="DQ63" s="26"/>
      <c r="DR63" s="27"/>
      <c r="DS63" s="27"/>
      <c r="DT63" s="134"/>
      <c r="DU63" s="134"/>
      <c r="DV63" s="134"/>
      <c r="DW63" s="134"/>
      <c r="DX63" s="134"/>
      <c r="DY63" s="134"/>
      <c r="DZ63" s="134"/>
      <c r="EA63" s="134"/>
      <c r="EB63" s="134"/>
      <c r="EC63" s="134"/>
      <c r="ED63" s="134"/>
      <c r="EE63" s="134"/>
      <c r="EF63" s="134"/>
      <c r="EG63" s="134"/>
      <c r="EH63" s="134"/>
      <c r="EI63" s="134"/>
      <c r="EJ63" s="134"/>
      <c r="EK63" s="134"/>
      <c r="EL63" s="134"/>
      <c r="EM63" s="134"/>
      <c r="EN63" s="134"/>
      <c r="EO63" s="134"/>
      <c r="EP63" s="134"/>
      <c r="EQ63" s="134"/>
      <c r="ER63" s="134"/>
      <c r="ES63" s="134"/>
      <c r="ET63" s="134"/>
      <c r="EU63" s="134"/>
      <c r="EV63" s="134"/>
      <c r="EW63" s="134"/>
      <c r="EX63" s="134"/>
      <c r="EY63" s="134"/>
      <c r="EZ63" s="134"/>
      <c r="FA63" s="134"/>
      <c r="FB63" s="134"/>
      <c r="FC63" s="134"/>
      <c r="FD63" s="134"/>
      <c r="FE63" s="134"/>
      <c r="FF63" s="134"/>
      <c r="FG63" s="134"/>
      <c r="FH63" s="134"/>
      <c r="FI63" s="134"/>
      <c r="FJ63" s="134"/>
      <c r="FK63" s="134"/>
      <c r="FL63" s="134"/>
      <c r="FM63" s="134"/>
      <c r="FN63" s="134"/>
      <c r="FO63" s="134"/>
    </row>
    <row r="64">
      <c r="A64" s="27"/>
      <c r="B64" s="27"/>
      <c r="C64" s="27"/>
      <c r="D64" s="27"/>
      <c r="E64" s="27"/>
      <c r="F64" s="27"/>
      <c r="G64" s="28"/>
      <c r="H64" s="27"/>
      <c r="I64" s="29"/>
      <c r="J64" s="2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8"/>
      <c r="AR64" s="27"/>
      <c r="AS64" s="29"/>
      <c r="AT64" s="26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8"/>
      <c r="CB64" s="27"/>
      <c r="CC64" s="29"/>
      <c r="CD64" s="26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8"/>
      <c r="DL64" s="27"/>
      <c r="DM64" s="36"/>
      <c r="DN64" s="26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</row>
    <row r="65">
      <c r="A65" s="27"/>
      <c r="B65" s="27"/>
      <c r="C65" s="27"/>
      <c r="D65" s="27"/>
      <c r="E65" s="27"/>
      <c r="F65" s="27"/>
      <c r="G65" s="28"/>
      <c r="H65" s="27"/>
      <c r="I65" s="29"/>
      <c r="J65" s="2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8"/>
      <c r="AR65" s="27"/>
      <c r="AS65" s="29"/>
      <c r="AT65" s="26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8"/>
      <c r="CB65" s="27"/>
      <c r="CC65" s="29"/>
      <c r="CD65" s="26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8"/>
      <c r="DL65" s="27"/>
      <c r="DM65" s="36"/>
      <c r="DN65" s="26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</row>
    <row r="66">
      <c r="A66" s="27"/>
      <c r="B66" s="27"/>
      <c r="C66" s="27"/>
      <c r="D66" s="27"/>
      <c r="E66" s="27"/>
      <c r="F66" s="27"/>
      <c r="G66" s="28"/>
      <c r="H66" s="27"/>
      <c r="I66" s="29"/>
      <c r="J66" s="2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8"/>
      <c r="AR66" s="27"/>
      <c r="AS66" s="29"/>
      <c r="AT66" s="26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8"/>
      <c r="CB66" s="27"/>
      <c r="CC66" s="29"/>
      <c r="CD66" s="26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8"/>
      <c r="DL66" s="27"/>
      <c r="DM66" s="36"/>
      <c r="DN66" s="26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</row>
    <row r="67">
      <c r="A67" s="27"/>
      <c r="B67" s="27"/>
      <c r="C67" s="27"/>
      <c r="D67" s="27"/>
      <c r="E67" s="27"/>
      <c r="F67" s="27"/>
      <c r="G67" s="28"/>
      <c r="H67" s="27"/>
      <c r="I67" s="29"/>
      <c r="J67" s="2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8"/>
      <c r="AR67" s="27"/>
      <c r="AS67" s="29"/>
      <c r="AT67" s="26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8"/>
      <c r="CB67" s="27"/>
      <c r="CC67" s="29"/>
      <c r="CD67" s="26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8"/>
      <c r="DL67" s="27"/>
      <c r="DM67" s="36"/>
      <c r="DN67" s="26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</row>
    <row r="68">
      <c r="A68" s="27"/>
      <c r="B68" s="27"/>
      <c r="C68" s="27"/>
      <c r="D68" s="27"/>
      <c r="E68" s="27"/>
      <c r="F68" s="27"/>
      <c r="G68" s="28"/>
      <c r="H68" s="27"/>
      <c r="I68" s="29"/>
      <c r="J68" s="2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8"/>
      <c r="AR68" s="27"/>
      <c r="AS68" s="29"/>
      <c r="AT68" s="26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8"/>
      <c r="CB68" s="27"/>
      <c r="CC68" s="29"/>
      <c r="CD68" s="26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8"/>
      <c r="DL68" s="27"/>
      <c r="DM68" s="36"/>
      <c r="DN68" s="26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</row>
    <row r="69">
      <c r="A69" s="27"/>
      <c r="B69" s="27"/>
      <c r="C69" s="27"/>
      <c r="D69" s="27"/>
      <c r="E69" s="27"/>
      <c r="F69" s="27"/>
      <c r="G69" s="28"/>
      <c r="H69" s="27"/>
      <c r="I69" s="29"/>
      <c r="J69" s="2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8"/>
      <c r="AR69" s="27"/>
      <c r="AS69" s="29"/>
      <c r="AT69" s="26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8"/>
      <c r="CB69" s="27"/>
      <c r="CC69" s="29"/>
      <c r="CD69" s="26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8"/>
      <c r="DL69" s="27"/>
      <c r="DM69" s="36"/>
      <c r="DN69" s="26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</row>
    <row r="70">
      <c r="A70" s="27"/>
      <c r="B70" s="27"/>
      <c r="C70" s="27"/>
      <c r="D70" s="27"/>
      <c r="E70" s="27"/>
      <c r="F70" s="27"/>
      <c r="G70" s="28"/>
      <c r="H70" s="27"/>
      <c r="I70" s="29"/>
      <c r="J70" s="2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8"/>
      <c r="AR70" s="27"/>
      <c r="AS70" s="29"/>
      <c r="AT70" s="26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8"/>
      <c r="CB70" s="27"/>
      <c r="CC70" s="29"/>
      <c r="CD70" s="26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8"/>
      <c r="DL70" s="27"/>
      <c r="DM70" s="36"/>
      <c r="DN70" s="26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</row>
    <row r="71">
      <c r="A71" s="27"/>
      <c r="B71" s="27"/>
      <c r="C71" s="27"/>
      <c r="D71" s="27"/>
      <c r="E71" s="27"/>
      <c r="F71" s="27"/>
      <c r="G71" s="28"/>
      <c r="H71" s="27"/>
      <c r="I71" s="29"/>
      <c r="J71" s="2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8"/>
      <c r="AR71" s="27"/>
      <c r="AS71" s="29"/>
      <c r="AT71" s="26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8"/>
      <c r="CB71" s="27"/>
      <c r="CC71" s="29"/>
      <c r="CD71" s="26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8"/>
      <c r="DL71" s="27"/>
      <c r="DM71" s="36"/>
      <c r="DN71" s="26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</row>
    <row r="72">
      <c r="A72" s="27"/>
      <c r="B72" s="27"/>
      <c r="C72" s="27"/>
      <c r="D72" s="27"/>
      <c r="E72" s="27"/>
      <c r="F72" s="27"/>
      <c r="G72" s="28"/>
      <c r="H72" s="27"/>
      <c r="I72" s="29"/>
      <c r="J72" s="2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8"/>
      <c r="AR72" s="27"/>
      <c r="AS72" s="29"/>
      <c r="AT72" s="26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8"/>
      <c r="CB72" s="27"/>
      <c r="CC72" s="29"/>
      <c r="CD72" s="26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8"/>
      <c r="DL72" s="27"/>
      <c r="DM72" s="36"/>
      <c r="DN72" s="26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</row>
    <row r="73">
      <c r="A73" s="27"/>
      <c r="B73" s="27"/>
      <c r="C73" s="27"/>
      <c r="D73" s="27"/>
      <c r="E73" s="27"/>
      <c r="F73" s="27"/>
      <c r="G73" s="28"/>
      <c r="H73" s="27"/>
      <c r="I73" s="29"/>
      <c r="J73" s="2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8"/>
      <c r="AR73" s="27"/>
      <c r="AS73" s="29"/>
      <c r="AT73" s="26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8"/>
      <c r="CB73" s="27"/>
      <c r="CC73" s="29"/>
      <c r="CD73" s="26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8"/>
      <c r="DL73" s="27"/>
      <c r="DM73" s="36"/>
      <c r="DN73" s="26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</row>
    <row r="74">
      <c r="A74" s="27"/>
      <c r="B74" s="27"/>
      <c r="C74" s="27"/>
      <c r="D74" s="27"/>
      <c r="E74" s="27"/>
      <c r="F74" s="27"/>
      <c r="G74" s="28"/>
      <c r="H74" s="27"/>
      <c r="I74" s="29"/>
      <c r="J74" s="2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8"/>
      <c r="AR74" s="27"/>
      <c r="AS74" s="29"/>
      <c r="AT74" s="26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8"/>
      <c r="CB74" s="27"/>
      <c r="CC74" s="29"/>
      <c r="CD74" s="26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8"/>
      <c r="DL74" s="27"/>
      <c r="DM74" s="36"/>
      <c r="DN74" s="26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</row>
    <row r="75">
      <c r="A75" s="27"/>
      <c r="B75" s="27"/>
      <c r="C75" s="27"/>
      <c r="D75" s="27"/>
      <c r="E75" s="27"/>
      <c r="F75" s="27"/>
      <c r="G75" s="28"/>
      <c r="H75" s="27"/>
      <c r="I75" s="29"/>
      <c r="J75" s="2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8"/>
      <c r="AR75" s="27"/>
      <c r="AS75" s="29"/>
      <c r="AT75" s="26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8"/>
      <c r="CB75" s="27"/>
      <c r="CC75" s="29"/>
      <c r="CD75" s="26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8"/>
      <c r="DL75" s="27"/>
      <c r="DM75" s="36"/>
      <c r="DN75" s="26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</row>
    <row r="76">
      <c r="A76" s="27"/>
      <c r="B76" s="27"/>
      <c r="C76" s="27"/>
      <c r="D76" s="27"/>
      <c r="E76" s="27"/>
      <c r="F76" s="27"/>
      <c r="G76" s="28"/>
      <c r="H76" s="27"/>
      <c r="I76" s="29"/>
      <c r="J76" s="2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8"/>
      <c r="AR76" s="27"/>
      <c r="AS76" s="29"/>
      <c r="AT76" s="26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8"/>
      <c r="CB76" s="27"/>
      <c r="CC76" s="29"/>
      <c r="CD76" s="26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8"/>
      <c r="DL76" s="27"/>
      <c r="DM76" s="36"/>
      <c r="DN76" s="26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</row>
    <row r="77">
      <c r="A77" s="27"/>
      <c r="B77" s="27"/>
      <c r="C77" s="27"/>
      <c r="D77" s="27"/>
      <c r="E77" s="27"/>
      <c r="F77" s="27"/>
      <c r="G77" s="28"/>
      <c r="H77" s="27"/>
      <c r="I77" s="29"/>
      <c r="J77" s="2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8"/>
      <c r="AR77" s="27"/>
      <c r="AS77" s="29"/>
      <c r="AT77" s="26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8"/>
      <c r="CB77" s="27"/>
      <c r="CC77" s="29"/>
      <c r="CD77" s="26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8"/>
      <c r="DL77" s="27"/>
      <c r="DM77" s="36"/>
      <c r="DN77" s="26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</row>
    <row r="78">
      <c r="A78" s="27"/>
      <c r="B78" s="27"/>
      <c r="C78" s="27"/>
      <c r="D78" s="27"/>
      <c r="E78" s="27"/>
      <c r="F78" s="27"/>
      <c r="G78" s="28"/>
      <c r="H78" s="27"/>
      <c r="I78" s="29"/>
      <c r="J78" s="2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8"/>
      <c r="AR78" s="27"/>
      <c r="AS78" s="29"/>
      <c r="AT78" s="26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8"/>
      <c r="CB78" s="27"/>
      <c r="CC78" s="29"/>
      <c r="CD78" s="26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8"/>
      <c r="DL78" s="27"/>
      <c r="DM78" s="36"/>
      <c r="DN78" s="26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</row>
    <row r="79">
      <c r="A79" s="27"/>
      <c r="B79" s="27"/>
      <c r="C79" s="27"/>
      <c r="D79" s="27"/>
      <c r="E79" s="27"/>
      <c r="F79" s="27"/>
      <c r="G79" s="28"/>
      <c r="H79" s="27"/>
      <c r="I79" s="29"/>
      <c r="J79" s="2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8"/>
      <c r="AR79" s="27"/>
      <c r="AS79" s="29"/>
      <c r="AT79" s="26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8"/>
      <c r="CB79" s="27"/>
      <c r="CC79" s="29"/>
      <c r="CD79" s="26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8"/>
      <c r="DL79" s="27"/>
      <c r="DM79" s="36"/>
      <c r="DN79" s="26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</row>
    <row r="80">
      <c r="A80" s="27"/>
      <c r="B80" s="27"/>
      <c r="C80" s="27"/>
      <c r="D80" s="27"/>
      <c r="E80" s="27"/>
      <c r="F80" s="27"/>
      <c r="G80" s="28"/>
      <c r="H80" s="27"/>
      <c r="I80" s="29"/>
      <c r="J80" s="2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8"/>
      <c r="AR80" s="27"/>
      <c r="AS80" s="29"/>
      <c r="AT80" s="26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8"/>
      <c r="CB80" s="27"/>
      <c r="CC80" s="29"/>
      <c r="CD80" s="26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8"/>
      <c r="DL80" s="27"/>
      <c r="DM80" s="36"/>
      <c r="DN80" s="26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</row>
    <row r="81">
      <c r="A81" s="27"/>
      <c r="B81" s="27"/>
      <c r="C81" s="27"/>
      <c r="D81" s="27"/>
      <c r="E81" s="27"/>
      <c r="F81" s="27"/>
      <c r="G81" s="28"/>
      <c r="H81" s="27"/>
      <c r="I81" s="29"/>
      <c r="J81" s="2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8"/>
      <c r="AR81" s="27"/>
      <c r="AS81" s="29"/>
      <c r="AT81" s="26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8"/>
      <c r="CB81" s="27"/>
      <c r="CC81" s="29"/>
      <c r="CD81" s="26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8"/>
      <c r="DL81" s="27"/>
      <c r="DM81" s="36"/>
      <c r="DN81" s="26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</row>
    <row r="82">
      <c r="A82" s="27"/>
      <c r="B82" s="27"/>
      <c r="C82" s="27"/>
      <c r="D82" s="27"/>
      <c r="E82" s="27"/>
      <c r="F82" s="27"/>
      <c r="G82" s="28"/>
      <c r="H82" s="27"/>
      <c r="I82" s="29"/>
      <c r="J82" s="2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8"/>
      <c r="AR82" s="27"/>
      <c r="AS82" s="29"/>
      <c r="AT82" s="26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8"/>
      <c r="CB82" s="27"/>
      <c r="CC82" s="29"/>
      <c r="CD82" s="26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8"/>
      <c r="DL82" s="27"/>
      <c r="DM82" s="36"/>
      <c r="DN82" s="26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</row>
    <row r="83">
      <c r="A83" s="27"/>
      <c r="B83" s="27"/>
      <c r="C83" s="27"/>
      <c r="D83" s="27"/>
      <c r="E83" s="27"/>
      <c r="F83" s="27"/>
      <c r="G83" s="28"/>
      <c r="H83" s="27"/>
      <c r="I83" s="29"/>
      <c r="J83" s="2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8"/>
      <c r="AR83" s="27"/>
      <c r="AS83" s="29"/>
      <c r="AT83" s="26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8"/>
      <c r="CB83" s="27"/>
      <c r="CC83" s="29"/>
      <c r="CD83" s="26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8"/>
      <c r="DL83" s="27"/>
      <c r="DM83" s="36"/>
      <c r="DN83" s="26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</row>
    <row r="84">
      <c r="A84" s="27"/>
      <c r="B84" s="27"/>
      <c r="C84" s="27"/>
      <c r="D84" s="27"/>
      <c r="E84" s="27"/>
      <c r="F84" s="27"/>
      <c r="G84" s="28"/>
      <c r="H84" s="27"/>
      <c r="I84" s="29"/>
      <c r="J84" s="2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8"/>
      <c r="AR84" s="27"/>
      <c r="AS84" s="29"/>
      <c r="AT84" s="26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8"/>
      <c r="CB84" s="27"/>
      <c r="CC84" s="29"/>
      <c r="CD84" s="26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8"/>
      <c r="DL84" s="27"/>
      <c r="DM84" s="36"/>
      <c r="DN84" s="26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</row>
    <row r="85">
      <c r="A85" s="27"/>
      <c r="B85" s="27"/>
      <c r="C85" s="27"/>
      <c r="D85" s="27"/>
      <c r="E85" s="27"/>
      <c r="F85" s="27"/>
      <c r="G85" s="28"/>
      <c r="H85" s="27"/>
      <c r="I85" s="29"/>
      <c r="J85" s="2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8"/>
      <c r="AR85" s="27"/>
      <c r="AS85" s="29"/>
      <c r="AT85" s="26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8"/>
      <c r="CB85" s="27"/>
      <c r="CC85" s="29"/>
      <c r="CD85" s="26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8"/>
      <c r="DL85" s="27"/>
      <c r="DM85" s="36"/>
      <c r="DN85" s="26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</row>
    <row r="86">
      <c r="A86" s="27"/>
      <c r="B86" s="27"/>
      <c r="C86" s="27"/>
      <c r="D86" s="27"/>
      <c r="E86" s="27"/>
      <c r="F86" s="27"/>
      <c r="G86" s="28"/>
      <c r="H86" s="27"/>
      <c r="I86" s="29"/>
      <c r="J86" s="2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8"/>
      <c r="AR86" s="27"/>
      <c r="AS86" s="29"/>
      <c r="AT86" s="26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8"/>
      <c r="CB86" s="27"/>
      <c r="CC86" s="29"/>
      <c r="CD86" s="26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8"/>
      <c r="DL86" s="27"/>
      <c r="DM86" s="36"/>
      <c r="DN86" s="26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</row>
    <row r="87">
      <c r="A87" s="27"/>
      <c r="B87" s="27"/>
      <c r="C87" s="27"/>
      <c r="D87" s="27"/>
      <c r="E87" s="27"/>
      <c r="F87" s="27"/>
      <c r="G87" s="28"/>
      <c r="H87" s="27"/>
      <c r="I87" s="29"/>
      <c r="J87" s="2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8"/>
      <c r="AR87" s="27"/>
      <c r="AS87" s="29"/>
      <c r="AT87" s="26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8"/>
      <c r="CB87" s="27"/>
      <c r="CC87" s="29"/>
      <c r="CD87" s="26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8"/>
      <c r="DL87" s="27"/>
      <c r="DM87" s="36"/>
      <c r="DN87" s="26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</row>
    <row r="88">
      <c r="A88" s="27"/>
      <c r="B88" s="27"/>
      <c r="C88" s="27"/>
      <c r="D88" s="27"/>
      <c r="E88" s="27"/>
      <c r="F88" s="27"/>
      <c r="G88" s="28"/>
      <c r="H88" s="27"/>
      <c r="I88" s="29"/>
      <c r="J88" s="2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8"/>
      <c r="AR88" s="27"/>
      <c r="AS88" s="29"/>
      <c r="AT88" s="26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8"/>
      <c r="CB88" s="27"/>
      <c r="CC88" s="29"/>
      <c r="CD88" s="26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8"/>
      <c r="DL88" s="27"/>
      <c r="DM88" s="36"/>
      <c r="DN88" s="26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</row>
    <row r="89">
      <c r="A89" s="27"/>
      <c r="B89" s="27"/>
      <c r="C89" s="27"/>
      <c r="D89" s="27"/>
      <c r="E89" s="27"/>
      <c r="F89" s="27"/>
      <c r="G89" s="28"/>
      <c r="H89" s="27"/>
      <c r="I89" s="29"/>
      <c r="J89" s="2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8"/>
      <c r="AR89" s="27"/>
      <c r="AS89" s="29"/>
      <c r="AT89" s="26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8"/>
      <c r="CB89" s="27"/>
      <c r="CC89" s="29"/>
      <c r="CD89" s="26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8"/>
      <c r="DL89" s="27"/>
      <c r="DM89" s="36"/>
      <c r="DN89" s="26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</row>
    <row r="90">
      <c r="A90" s="27"/>
      <c r="B90" s="27"/>
      <c r="C90" s="27"/>
      <c r="D90" s="27"/>
      <c r="E90" s="27"/>
      <c r="F90" s="27"/>
      <c r="G90" s="28"/>
      <c r="H90" s="27"/>
      <c r="I90" s="29"/>
      <c r="J90" s="2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8"/>
      <c r="AR90" s="27"/>
      <c r="AS90" s="29"/>
      <c r="AT90" s="26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8"/>
      <c r="CB90" s="27"/>
      <c r="CC90" s="29"/>
      <c r="CD90" s="26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8"/>
      <c r="DL90" s="27"/>
      <c r="DM90" s="36"/>
      <c r="DN90" s="26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</row>
    <row r="91">
      <c r="A91" s="27"/>
      <c r="B91" s="27"/>
      <c r="C91" s="27"/>
      <c r="D91" s="27"/>
      <c r="E91" s="27"/>
      <c r="F91" s="27"/>
      <c r="G91" s="28"/>
      <c r="H91" s="27"/>
      <c r="I91" s="29"/>
      <c r="J91" s="2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8"/>
      <c r="AR91" s="27"/>
      <c r="AS91" s="29"/>
      <c r="AT91" s="26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8"/>
      <c r="CB91" s="27"/>
      <c r="CC91" s="29"/>
      <c r="CD91" s="26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8"/>
      <c r="DL91" s="27"/>
      <c r="DM91" s="36"/>
      <c r="DN91" s="26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</row>
    <row r="92">
      <c r="A92" s="27"/>
      <c r="B92" s="27"/>
      <c r="C92" s="27"/>
      <c r="D92" s="27"/>
      <c r="E92" s="27"/>
      <c r="F92" s="27"/>
      <c r="G92" s="28"/>
      <c r="H92" s="27"/>
      <c r="I92" s="29"/>
      <c r="J92" s="2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8"/>
      <c r="AR92" s="27"/>
      <c r="AS92" s="29"/>
      <c r="AT92" s="26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8"/>
      <c r="CB92" s="27"/>
      <c r="CC92" s="29"/>
      <c r="CD92" s="26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8"/>
      <c r="DL92" s="27"/>
      <c r="DM92" s="36"/>
      <c r="DN92" s="26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</row>
    <row r="93">
      <c r="A93" s="27"/>
      <c r="B93" s="27"/>
      <c r="C93" s="27"/>
      <c r="D93" s="27"/>
      <c r="E93" s="27"/>
      <c r="F93" s="27"/>
      <c r="G93" s="28"/>
      <c r="H93" s="27"/>
      <c r="I93" s="29"/>
      <c r="J93" s="2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8"/>
      <c r="AR93" s="27"/>
      <c r="AS93" s="29"/>
      <c r="AT93" s="26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8"/>
      <c r="CB93" s="27"/>
      <c r="CC93" s="29"/>
      <c r="CD93" s="26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8"/>
      <c r="DL93" s="27"/>
      <c r="DM93" s="36"/>
      <c r="DN93" s="26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</row>
    <row r="94">
      <c r="A94" s="27"/>
      <c r="B94" s="27"/>
      <c r="C94" s="27"/>
      <c r="D94" s="27"/>
      <c r="E94" s="27"/>
      <c r="F94" s="27"/>
      <c r="G94" s="28"/>
      <c r="H94" s="27"/>
      <c r="I94" s="29"/>
      <c r="J94" s="2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8"/>
      <c r="AR94" s="27"/>
      <c r="AS94" s="29"/>
      <c r="AT94" s="26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8"/>
      <c r="CB94" s="27"/>
      <c r="CC94" s="29"/>
      <c r="CD94" s="26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8"/>
      <c r="DL94" s="27"/>
      <c r="DM94" s="36"/>
      <c r="DN94" s="26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</row>
    <row r="95">
      <c r="A95" s="27"/>
      <c r="B95" s="27"/>
      <c r="C95" s="27"/>
      <c r="D95" s="27"/>
      <c r="E95" s="27"/>
      <c r="F95" s="27"/>
      <c r="G95" s="28"/>
      <c r="H95" s="27"/>
      <c r="I95" s="29"/>
      <c r="J95" s="2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8"/>
      <c r="AR95" s="27"/>
      <c r="AS95" s="29"/>
      <c r="AT95" s="26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8"/>
      <c r="CB95" s="27"/>
      <c r="CC95" s="29"/>
      <c r="CD95" s="26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8"/>
      <c r="DL95" s="27"/>
      <c r="DM95" s="36"/>
      <c r="DN95" s="26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</row>
    <row r="96">
      <c r="A96" s="27"/>
      <c r="B96" s="27"/>
      <c r="C96" s="27"/>
      <c r="D96" s="27"/>
      <c r="E96" s="27"/>
      <c r="F96" s="27"/>
      <c r="G96" s="28"/>
      <c r="H96" s="27"/>
      <c r="I96" s="29"/>
      <c r="J96" s="2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8"/>
      <c r="AR96" s="27"/>
      <c r="AS96" s="29"/>
      <c r="AT96" s="26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8"/>
      <c r="CB96" s="27"/>
      <c r="CC96" s="29"/>
      <c r="CD96" s="26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8"/>
      <c r="DL96" s="27"/>
      <c r="DM96" s="36"/>
      <c r="DN96" s="26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</row>
    <row r="97">
      <c r="A97" s="27"/>
      <c r="B97" s="27"/>
      <c r="C97" s="27"/>
      <c r="D97" s="27"/>
      <c r="E97" s="27"/>
      <c r="F97" s="27"/>
      <c r="G97" s="28"/>
      <c r="H97" s="27"/>
      <c r="I97" s="29"/>
      <c r="J97" s="2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8"/>
      <c r="AR97" s="27"/>
      <c r="AS97" s="29"/>
      <c r="AT97" s="26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8"/>
      <c r="CB97" s="27"/>
      <c r="CC97" s="29"/>
      <c r="CD97" s="26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8"/>
      <c r="DL97" s="27"/>
      <c r="DM97" s="36"/>
      <c r="DN97" s="26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</row>
    <row r="98">
      <c r="A98" s="27"/>
      <c r="B98" s="27"/>
      <c r="C98" s="27"/>
      <c r="D98" s="27"/>
      <c r="E98" s="27"/>
      <c r="F98" s="27"/>
      <c r="G98" s="28"/>
      <c r="H98" s="27"/>
      <c r="I98" s="29"/>
      <c r="J98" s="2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8"/>
      <c r="AR98" s="27"/>
      <c r="AS98" s="29"/>
      <c r="AT98" s="26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8"/>
      <c r="CB98" s="27"/>
      <c r="CC98" s="29"/>
      <c r="CD98" s="26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8"/>
      <c r="DL98" s="27"/>
      <c r="DM98" s="36"/>
      <c r="DN98" s="26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</row>
    <row r="99">
      <c r="A99" s="27"/>
      <c r="B99" s="27"/>
      <c r="C99" s="27"/>
      <c r="D99" s="27"/>
      <c r="E99" s="27"/>
      <c r="F99" s="27"/>
      <c r="G99" s="28"/>
      <c r="H99" s="27"/>
      <c r="I99" s="29"/>
      <c r="J99" s="2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8"/>
      <c r="AR99" s="27"/>
      <c r="AS99" s="29"/>
      <c r="AT99" s="26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8"/>
      <c r="CB99" s="27"/>
      <c r="CC99" s="29"/>
      <c r="CD99" s="26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8"/>
      <c r="DL99" s="27"/>
      <c r="DM99" s="36"/>
      <c r="DN99" s="26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</row>
    <row r="100">
      <c r="A100" s="27"/>
      <c r="B100" s="27"/>
      <c r="C100" s="27"/>
      <c r="D100" s="27"/>
      <c r="E100" s="27"/>
      <c r="F100" s="27"/>
      <c r="G100" s="28"/>
      <c r="H100" s="27"/>
      <c r="I100" s="29"/>
      <c r="J100" s="2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8"/>
      <c r="AR100" s="27"/>
      <c r="AS100" s="29"/>
      <c r="AT100" s="26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8"/>
      <c r="CB100" s="27"/>
      <c r="CC100" s="29"/>
      <c r="CD100" s="26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8"/>
      <c r="DL100" s="27"/>
      <c r="DM100" s="36"/>
      <c r="DN100" s="26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</row>
    <row r="101">
      <c r="A101" s="27"/>
      <c r="B101" s="27"/>
      <c r="C101" s="27"/>
      <c r="D101" s="27"/>
      <c r="E101" s="27"/>
      <c r="F101" s="27"/>
      <c r="G101" s="28"/>
      <c r="H101" s="27"/>
      <c r="I101" s="29"/>
      <c r="J101" s="2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8"/>
      <c r="AR101" s="27"/>
      <c r="AS101" s="29"/>
      <c r="AT101" s="26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8"/>
      <c r="CB101" s="27"/>
      <c r="CC101" s="29"/>
      <c r="CD101" s="26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8"/>
      <c r="DL101" s="27"/>
      <c r="DM101" s="36"/>
      <c r="DN101" s="26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</row>
    <row r="102">
      <c r="A102" s="27"/>
      <c r="B102" s="27"/>
      <c r="C102" s="27"/>
      <c r="D102" s="27"/>
      <c r="E102" s="27"/>
      <c r="F102" s="27"/>
      <c r="G102" s="28"/>
      <c r="H102" s="27"/>
      <c r="I102" s="29"/>
      <c r="J102" s="2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8"/>
      <c r="AR102" s="27"/>
      <c r="AS102" s="29"/>
      <c r="AT102" s="26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8"/>
      <c r="CB102" s="27"/>
      <c r="CC102" s="29"/>
      <c r="CD102" s="26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8"/>
      <c r="DL102" s="27"/>
      <c r="DM102" s="36"/>
      <c r="DN102" s="26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</row>
    <row r="103">
      <c r="A103" s="27"/>
      <c r="B103" s="27"/>
      <c r="C103" s="27"/>
      <c r="D103" s="27"/>
      <c r="E103" s="27"/>
      <c r="F103" s="27"/>
      <c r="G103" s="28"/>
      <c r="H103" s="27"/>
      <c r="I103" s="29"/>
      <c r="J103" s="2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8"/>
      <c r="AR103" s="27"/>
      <c r="AS103" s="29"/>
      <c r="AT103" s="26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8"/>
      <c r="CB103" s="27"/>
      <c r="CC103" s="29"/>
      <c r="CD103" s="26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8"/>
      <c r="DL103" s="27"/>
      <c r="DM103" s="36"/>
      <c r="DN103" s="26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</row>
    <row r="104">
      <c r="A104" s="27"/>
      <c r="B104" s="27"/>
      <c r="C104" s="27"/>
      <c r="D104" s="27"/>
      <c r="E104" s="27"/>
      <c r="F104" s="27"/>
      <c r="G104" s="28"/>
      <c r="H104" s="27"/>
      <c r="I104" s="29"/>
      <c r="J104" s="2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8"/>
      <c r="AR104" s="27"/>
      <c r="AS104" s="29"/>
      <c r="AT104" s="26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8"/>
      <c r="CB104" s="27"/>
      <c r="CC104" s="29"/>
      <c r="CD104" s="26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8"/>
      <c r="DL104" s="27"/>
      <c r="DM104" s="36"/>
      <c r="DN104" s="26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</row>
    <row r="105">
      <c r="A105" s="27"/>
      <c r="B105" s="27"/>
      <c r="C105" s="27"/>
      <c r="D105" s="27"/>
      <c r="E105" s="27"/>
      <c r="F105" s="27"/>
      <c r="G105" s="28"/>
      <c r="H105" s="27"/>
      <c r="I105" s="29"/>
      <c r="J105" s="2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8"/>
      <c r="AR105" s="27"/>
      <c r="AS105" s="29"/>
      <c r="AT105" s="26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8"/>
      <c r="CB105" s="27"/>
      <c r="CC105" s="29"/>
      <c r="CD105" s="26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8"/>
      <c r="DL105" s="27"/>
      <c r="DM105" s="36"/>
      <c r="DN105" s="26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</row>
    <row r="106">
      <c r="A106" s="27"/>
      <c r="B106" s="27"/>
      <c r="C106" s="27"/>
      <c r="D106" s="27"/>
      <c r="E106" s="27"/>
      <c r="F106" s="27"/>
      <c r="G106" s="28"/>
      <c r="H106" s="27"/>
      <c r="I106" s="29"/>
      <c r="J106" s="2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8"/>
      <c r="AR106" s="27"/>
      <c r="AS106" s="29"/>
      <c r="AT106" s="26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8"/>
      <c r="CB106" s="27"/>
      <c r="CC106" s="29"/>
      <c r="CD106" s="26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8"/>
      <c r="DL106" s="27"/>
      <c r="DM106" s="36"/>
      <c r="DN106" s="26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</row>
    <row r="107">
      <c r="A107" s="27"/>
      <c r="B107" s="27"/>
      <c r="C107" s="27"/>
      <c r="D107" s="27"/>
      <c r="E107" s="27"/>
      <c r="F107" s="27"/>
      <c r="G107" s="28"/>
      <c r="H107" s="27"/>
      <c r="I107" s="29"/>
      <c r="J107" s="2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8"/>
      <c r="AR107" s="27"/>
      <c r="AS107" s="29"/>
      <c r="AT107" s="26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8"/>
      <c r="CB107" s="27"/>
      <c r="CC107" s="29"/>
      <c r="CD107" s="26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8"/>
      <c r="DL107" s="27"/>
      <c r="DM107" s="36"/>
      <c r="DN107" s="26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</row>
    <row r="108">
      <c r="A108" s="27"/>
      <c r="B108" s="27"/>
      <c r="C108" s="27"/>
      <c r="D108" s="27"/>
      <c r="E108" s="27"/>
      <c r="F108" s="27"/>
      <c r="G108" s="28"/>
      <c r="H108" s="27"/>
      <c r="I108" s="29"/>
      <c r="J108" s="2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8"/>
      <c r="AR108" s="27"/>
      <c r="AS108" s="29"/>
      <c r="AT108" s="26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8"/>
      <c r="CB108" s="27"/>
      <c r="CC108" s="29"/>
      <c r="CD108" s="26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8"/>
      <c r="DL108" s="27"/>
      <c r="DM108" s="36"/>
      <c r="DN108" s="26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</row>
    <row r="109">
      <c r="A109" s="27"/>
      <c r="B109" s="27"/>
      <c r="C109" s="27"/>
      <c r="D109" s="27"/>
      <c r="E109" s="27"/>
      <c r="F109" s="27"/>
      <c r="G109" s="28"/>
      <c r="H109" s="27"/>
      <c r="I109" s="29"/>
      <c r="J109" s="2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8"/>
      <c r="AR109" s="27"/>
      <c r="AS109" s="29"/>
      <c r="AT109" s="26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8"/>
      <c r="CB109" s="27"/>
      <c r="CC109" s="29"/>
      <c r="CD109" s="26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8"/>
      <c r="DL109" s="27"/>
      <c r="DM109" s="36"/>
      <c r="DN109" s="26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</row>
    <row r="110">
      <c r="A110" s="27"/>
      <c r="B110" s="27"/>
      <c r="C110" s="27"/>
      <c r="D110" s="27"/>
      <c r="E110" s="27"/>
      <c r="F110" s="27"/>
      <c r="G110" s="28"/>
      <c r="H110" s="27"/>
      <c r="I110" s="29"/>
      <c r="J110" s="2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8"/>
      <c r="AR110" s="27"/>
      <c r="AS110" s="29"/>
      <c r="AT110" s="26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8"/>
      <c r="CB110" s="27"/>
      <c r="CC110" s="29"/>
      <c r="CD110" s="26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8"/>
      <c r="DL110" s="27"/>
      <c r="DM110" s="36"/>
      <c r="DN110" s="26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</row>
    <row r="111">
      <c r="A111" s="27"/>
      <c r="B111" s="27"/>
      <c r="C111" s="27"/>
      <c r="D111" s="27"/>
      <c r="E111" s="27"/>
      <c r="F111" s="27"/>
      <c r="G111" s="28"/>
      <c r="H111" s="27"/>
      <c r="I111" s="29"/>
      <c r="J111" s="2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8"/>
      <c r="AR111" s="27"/>
      <c r="AS111" s="29"/>
      <c r="AT111" s="26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8"/>
      <c r="CB111" s="27"/>
      <c r="CC111" s="29"/>
      <c r="CD111" s="26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8"/>
      <c r="DL111" s="27"/>
      <c r="DM111" s="36"/>
      <c r="DN111" s="26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</row>
    <row r="112">
      <c r="A112" s="27"/>
      <c r="B112" s="27"/>
      <c r="C112" s="27"/>
      <c r="D112" s="27"/>
      <c r="E112" s="27"/>
      <c r="F112" s="27"/>
      <c r="G112" s="28"/>
      <c r="H112" s="27"/>
      <c r="I112" s="29"/>
      <c r="J112" s="2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8"/>
      <c r="AR112" s="27"/>
      <c r="AS112" s="29"/>
      <c r="AT112" s="26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8"/>
      <c r="CB112" s="27"/>
      <c r="CC112" s="29"/>
      <c r="CD112" s="26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8"/>
      <c r="DL112" s="27"/>
      <c r="DM112" s="36"/>
      <c r="DN112" s="26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</row>
    <row r="113">
      <c r="A113" s="27"/>
      <c r="B113" s="27"/>
      <c r="C113" s="27"/>
      <c r="D113" s="27"/>
      <c r="E113" s="27"/>
      <c r="F113" s="27"/>
      <c r="G113" s="28"/>
      <c r="H113" s="27"/>
      <c r="I113" s="29"/>
      <c r="J113" s="2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8"/>
      <c r="AR113" s="27"/>
      <c r="AS113" s="29"/>
      <c r="AT113" s="26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8"/>
      <c r="CB113" s="27"/>
      <c r="CC113" s="29"/>
      <c r="CD113" s="26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8"/>
      <c r="DL113" s="27"/>
      <c r="DM113" s="36"/>
      <c r="DN113" s="26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</row>
    <row r="114">
      <c r="A114" s="27"/>
      <c r="B114" s="27"/>
      <c r="C114" s="27"/>
      <c r="D114" s="27"/>
      <c r="E114" s="27"/>
      <c r="F114" s="27"/>
      <c r="G114" s="28"/>
      <c r="H114" s="27"/>
      <c r="I114" s="29"/>
      <c r="J114" s="2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8"/>
      <c r="AR114" s="27"/>
      <c r="AS114" s="29"/>
      <c r="AT114" s="26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8"/>
      <c r="CB114" s="27"/>
      <c r="CC114" s="29"/>
      <c r="CD114" s="26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8"/>
      <c r="DL114" s="27"/>
      <c r="DM114" s="36"/>
      <c r="DN114" s="26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</row>
    <row r="115">
      <c r="A115" s="27"/>
      <c r="B115" s="27"/>
      <c r="C115" s="27"/>
      <c r="D115" s="27"/>
      <c r="E115" s="27"/>
      <c r="F115" s="27"/>
      <c r="G115" s="28"/>
      <c r="H115" s="27"/>
      <c r="I115" s="29"/>
      <c r="J115" s="2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8"/>
      <c r="AR115" s="27"/>
      <c r="AS115" s="29"/>
      <c r="AT115" s="26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8"/>
      <c r="CB115" s="27"/>
      <c r="CC115" s="29"/>
      <c r="CD115" s="26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8"/>
      <c r="DL115" s="27"/>
      <c r="DM115" s="36"/>
      <c r="DN115" s="26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</row>
    <row r="116">
      <c r="A116" s="27"/>
      <c r="B116" s="27"/>
      <c r="C116" s="27"/>
      <c r="D116" s="27"/>
      <c r="E116" s="27"/>
      <c r="F116" s="27"/>
      <c r="G116" s="28"/>
      <c r="H116" s="27"/>
      <c r="I116" s="29"/>
      <c r="J116" s="2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8"/>
      <c r="AR116" s="27"/>
      <c r="AS116" s="29"/>
      <c r="AT116" s="26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8"/>
      <c r="CB116" s="27"/>
      <c r="CC116" s="29"/>
      <c r="CD116" s="26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8"/>
      <c r="DL116" s="27"/>
      <c r="DM116" s="36"/>
      <c r="DN116" s="26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</row>
    <row r="117">
      <c r="A117" s="27"/>
      <c r="B117" s="27"/>
      <c r="C117" s="27"/>
      <c r="D117" s="27"/>
      <c r="E117" s="27"/>
      <c r="F117" s="27"/>
      <c r="G117" s="28"/>
      <c r="H117" s="27"/>
      <c r="I117" s="29"/>
      <c r="J117" s="2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8"/>
      <c r="AR117" s="27"/>
      <c r="AS117" s="29"/>
      <c r="AT117" s="26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8"/>
      <c r="CB117" s="27"/>
      <c r="CC117" s="29"/>
      <c r="CD117" s="26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8"/>
      <c r="DL117" s="27"/>
      <c r="DM117" s="36"/>
      <c r="DN117" s="26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</row>
    <row r="118">
      <c r="A118" s="27"/>
      <c r="B118" s="27"/>
      <c r="C118" s="27"/>
      <c r="D118" s="27"/>
      <c r="E118" s="27"/>
      <c r="F118" s="27"/>
      <c r="G118" s="28"/>
      <c r="H118" s="27"/>
      <c r="I118" s="29"/>
      <c r="J118" s="2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8"/>
      <c r="AR118" s="27"/>
      <c r="AS118" s="29"/>
      <c r="AT118" s="26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8"/>
      <c r="CB118" s="27"/>
      <c r="CC118" s="29"/>
      <c r="CD118" s="26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8"/>
      <c r="DL118" s="27"/>
      <c r="DM118" s="36"/>
      <c r="DN118" s="26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</row>
    <row r="119">
      <c r="A119" s="27"/>
      <c r="B119" s="27"/>
      <c r="C119" s="27"/>
      <c r="D119" s="27"/>
      <c r="E119" s="27"/>
      <c r="F119" s="27"/>
      <c r="G119" s="28"/>
      <c r="H119" s="27"/>
      <c r="I119" s="29"/>
      <c r="J119" s="2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8"/>
      <c r="AR119" s="27"/>
      <c r="AS119" s="29"/>
      <c r="AT119" s="26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8"/>
      <c r="CB119" s="27"/>
      <c r="CC119" s="29"/>
      <c r="CD119" s="26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8"/>
      <c r="DL119" s="27"/>
      <c r="DM119" s="36"/>
      <c r="DN119" s="26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</row>
    <row r="120">
      <c r="A120" s="27"/>
      <c r="B120" s="27"/>
      <c r="C120" s="27"/>
      <c r="D120" s="27"/>
      <c r="E120" s="27"/>
      <c r="F120" s="27"/>
      <c r="G120" s="28"/>
      <c r="H120" s="27"/>
      <c r="I120" s="29"/>
      <c r="J120" s="2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8"/>
      <c r="AR120" s="27"/>
      <c r="AS120" s="29"/>
      <c r="AT120" s="26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8"/>
      <c r="CB120" s="27"/>
      <c r="CC120" s="29"/>
      <c r="CD120" s="26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8"/>
      <c r="DL120" s="27"/>
      <c r="DM120" s="36"/>
      <c r="DN120" s="26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</row>
    <row r="121">
      <c r="A121" s="27"/>
      <c r="B121" s="27"/>
      <c r="C121" s="27"/>
      <c r="D121" s="27"/>
      <c r="E121" s="27"/>
      <c r="F121" s="27"/>
      <c r="G121" s="28"/>
      <c r="H121" s="27"/>
      <c r="I121" s="29"/>
      <c r="J121" s="2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8"/>
      <c r="AR121" s="27"/>
      <c r="AS121" s="29"/>
      <c r="AT121" s="26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8"/>
      <c r="CB121" s="27"/>
      <c r="CC121" s="29"/>
      <c r="CD121" s="26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8"/>
      <c r="DL121" s="27"/>
      <c r="DM121" s="36"/>
      <c r="DN121" s="26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</row>
    <row r="122">
      <c r="A122" s="27"/>
      <c r="B122" s="27"/>
      <c r="C122" s="27"/>
      <c r="D122" s="27"/>
      <c r="E122" s="27"/>
      <c r="F122" s="27"/>
      <c r="G122" s="28"/>
      <c r="H122" s="27"/>
      <c r="I122" s="29"/>
      <c r="J122" s="2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8"/>
      <c r="AR122" s="27"/>
      <c r="AS122" s="29"/>
      <c r="AT122" s="26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8"/>
      <c r="CB122" s="27"/>
      <c r="CC122" s="29"/>
      <c r="CD122" s="26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8"/>
      <c r="DL122" s="27"/>
      <c r="DM122" s="36"/>
      <c r="DN122" s="26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</row>
    <row r="123">
      <c r="A123" s="27"/>
      <c r="B123" s="27"/>
      <c r="C123" s="27"/>
      <c r="D123" s="27"/>
      <c r="E123" s="27"/>
      <c r="F123" s="27"/>
      <c r="G123" s="28"/>
      <c r="H123" s="27"/>
      <c r="I123" s="29"/>
      <c r="J123" s="2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8"/>
      <c r="AR123" s="27"/>
      <c r="AS123" s="29"/>
      <c r="AT123" s="26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8"/>
      <c r="CB123" s="27"/>
      <c r="CC123" s="29"/>
      <c r="CD123" s="26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8"/>
      <c r="DL123" s="27"/>
      <c r="DM123" s="36"/>
      <c r="DN123" s="26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</row>
    <row r="124">
      <c r="A124" s="27"/>
      <c r="B124" s="27"/>
      <c r="C124" s="27"/>
      <c r="D124" s="27"/>
      <c r="E124" s="27"/>
      <c r="F124" s="27"/>
      <c r="G124" s="28"/>
      <c r="H124" s="27"/>
      <c r="I124" s="29"/>
      <c r="J124" s="2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8"/>
      <c r="AR124" s="27"/>
      <c r="AS124" s="29"/>
      <c r="AT124" s="26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8"/>
      <c r="CB124" s="27"/>
      <c r="CC124" s="29"/>
      <c r="CD124" s="26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8"/>
      <c r="DL124" s="27"/>
      <c r="DM124" s="36"/>
      <c r="DN124" s="26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</row>
    <row r="125">
      <c r="A125" s="27"/>
      <c r="B125" s="27"/>
      <c r="C125" s="27"/>
      <c r="D125" s="27"/>
      <c r="E125" s="27"/>
      <c r="F125" s="27"/>
      <c r="G125" s="28"/>
      <c r="H125" s="27"/>
      <c r="I125" s="29"/>
      <c r="J125" s="2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8"/>
      <c r="AR125" s="27"/>
      <c r="AS125" s="29"/>
      <c r="AT125" s="26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8"/>
      <c r="CB125" s="27"/>
      <c r="CC125" s="29"/>
      <c r="CD125" s="26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8"/>
      <c r="DL125" s="27"/>
      <c r="DM125" s="36"/>
      <c r="DN125" s="26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</row>
    <row r="126">
      <c r="A126" s="27"/>
      <c r="B126" s="27"/>
      <c r="C126" s="27"/>
      <c r="D126" s="27"/>
      <c r="E126" s="27"/>
      <c r="F126" s="27"/>
      <c r="G126" s="28"/>
      <c r="H126" s="27"/>
      <c r="I126" s="29"/>
      <c r="J126" s="2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8"/>
      <c r="AR126" s="27"/>
      <c r="AS126" s="29"/>
      <c r="AT126" s="26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8"/>
      <c r="CB126" s="27"/>
      <c r="CC126" s="29"/>
      <c r="CD126" s="26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8"/>
      <c r="DL126" s="27"/>
      <c r="DM126" s="36"/>
      <c r="DN126" s="26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</row>
    <row r="127">
      <c r="A127" s="27"/>
      <c r="B127" s="27"/>
      <c r="C127" s="27"/>
      <c r="D127" s="27"/>
      <c r="E127" s="27"/>
      <c r="F127" s="27"/>
      <c r="G127" s="28"/>
      <c r="H127" s="27"/>
      <c r="I127" s="29"/>
      <c r="J127" s="2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8"/>
      <c r="AR127" s="27"/>
      <c r="AS127" s="29"/>
      <c r="AT127" s="26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8"/>
      <c r="CB127" s="27"/>
      <c r="CC127" s="29"/>
      <c r="CD127" s="26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8"/>
      <c r="DL127" s="27"/>
      <c r="DM127" s="36"/>
      <c r="DN127" s="26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</row>
    <row r="128">
      <c r="A128" s="27"/>
      <c r="B128" s="27"/>
      <c r="C128" s="27"/>
      <c r="D128" s="27"/>
      <c r="E128" s="27"/>
      <c r="F128" s="27"/>
      <c r="G128" s="28"/>
      <c r="H128" s="27"/>
      <c r="I128" s="29"/>
      <c r="J128" s="2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8"/>
      <c r="AR128" s="27"/>
      <c r="AS128" s="29"/>
      <c r="AT128" s="26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8"/>
      <c r="CB128" s="27"/>
      <c r="CC128" s="29"/>
      <c r="CD128" s="26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8"/>
      <c r="DL128" s="27"/>
      <c r="DM128" s="36"/>
      <c r="DN128" s="26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</row>
    <row r="129">
      <c r="A129" s="27"/>
      <c r="B129" s="27"/>
      <c r="C129" s="27"/>
      <c r="D129" s="27"/>
      <c r="E129" s="27"/>
      <c r="F129" s="27"/>
      <c r="G129" s="28"/>
      <c r="H129" s="27"/>
      <c r="I129" s="29"/>
      <c r="J129" s="2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8"/>
      <c r="AR129" s="27"/>
      <c r="AS129" s="29"/>
      <c r="AT129" s="26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8"/>
      <c r="CB129" s="27"/>
      <c r="CC129" s="29"/>
      <c r="CD129" s="26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8"/>
      <c r="DL129" s="27"/>
      <c r="DM129" s="36"/>
      <c r="DN129" s="26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</row>
    <row r="130">
      <c r="A130" s="27"/>
      <c r="B130" s="27"/>
      <c r="C130" s="27"/>
      <c r="D130" s="27"/>
      <c r="E130" s="27"/>
      <c r="F130" s="27"/>
      <c r="G130" s="28"/>
      <c r="H130" s="27"/>
      <c r="I130" s="29"/>
      <c r="J130" s="2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8"/>
      <c r="AR130" s="27"/>
      <c r="AS130" s="29"/>
      <c r="AT130" s="26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8"/>
      <c r="CB130" s="27"/>
      <c r="CC130" s="29"/>
      <c r="CD130" s="26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8"/>
      <c r="DL130" s="27"/>
      <c r="DM130" s="36"/>
      <c r="DN130" s="26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</row>
    <row r="131">
      <c r="A131" s="27"/>
      <c r="B131" s="27"/>
      <c r="C131" s="27"/>
      <c r="D131" s="27"/>
      <c r="E131" s="27"/>
      <c r="F131" s="27"/>
      <c r="G131" s="28"/>
      <c r="H131" s="27"/>
      <c r="I131" s="29"/>
      <c r="J131" s="2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8"/>
      <c r="AR131" s="27"/>
      <c r="AS131" s="29"/>
      <c r="AT131" s="26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8"/>
      <c r="CB131" s="27"/>
      <c r="CC131" s="29"/>
      <c r="CD131" s="26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8"/>
      <c r="DL131" s="27"/>
      <c r="DM131" s="36"/>
      <c r="DN131" s="26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</row>
    <row r="132">
      <c r="A132" s="27"/>
      <c r="B132" s="27"/>
      <c r="C132" s="27"/>
      <c r="D132" s="27"/>
      <c r="E132" s="27"/>
      <c r="F132" s="27"/>
      <c r="G132" s="28"/>
      <c r="H132" s="27"/>
      <c r="I132" s="29"/>
      <c r="J132" s="2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8"/>
      <c r="AR132" s="27"/>
      <c r="AS132" s="29"/>
      <c r="AT132" s="26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8"/>
      <c r="CB132" s="27"/>
      <c r="CC132" s="29"/>
      <c r="CD132" s="26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8"/>
      <c r="DL132" s="27"/>
      <c r="DM132" s="36"/>
      <c r="DN132" s="26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</row>
    <row r="133">
      <c r="A133" s="27"/>
      <c r="B133" s="27"/>
      <c r="C133" s="27"/>
      <c r="D133" s="27"/>
      <c r="E133" s="27"/>
      <c r="F133" s="27"/>
      <c r="G133" s="28"/>
      <c r="H133" s="27"/>
      <c r="I133" s="29"/>
      <c r="J133" s="2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8"/>
      <c r="AR133" s="27"/>
      <c r="AS133" s="29"/>
      <c r="AT133" s="26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8"/>
      <c r="CB133" s="27"/>
      <c r="CC133" s="29"/>
      <c r="CD133" s="26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8"/>
      <c r="DL133" s="27"/>
      <c r="DM133" s="36"/>
      <c r="DN133" s="26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</row>
    <row r="134">
      <c r="A134" s="27"/>
      <c r="B134" s="27"/>
      <c r="C134" s="27"/>
      <c r="D134" s="27"/>
      <c r="E134" s="27"/>
      <c r="F134" s="27"/>
      <c r="G134" s="28"/>
      <c r="H134" s="27"/>
      <c r="I134" s="29"/>
      <c r="J134" s="2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8"/>
      <c r="AR134" s="27"/>
      <c r="AS134" s="29"/>
      <c r="AT134" s="26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8"/>
      <c r="CB134" s="27"/>
      <c r="CC134" s="29"/>
      <c r="CD134" s="26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8"/>
      <c r="DL134" s="27"/>
      <c r="DM134" s="36"/>
      <c r="DN134" s="26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</row>
    <row r="135">
      <c r="A135" s="27"/>
      <c r="B135" s="27"/>
      <c r="C135" s="27"/>
      <c r="D135" s="27"/>
      <c r="E135" s="27"/>
      <c r="F135" s="27"/>
      <c r="G135" s="28"/>
      <c r="H135" s="27"/>
      <c r="I135" s="29"/>
      <c r="J135" s="2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8"/>
      <c r="AR135" s="27"/>
      <c r="AS135" s="29"/>
      <c r="AT135" s="26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8"/>
      <c r="CB135" s="27"/>
      <c r="CC135" s="29"/>
      <c r="CD135" s="26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8"/>
      <c r="DL135" s="27"/>
      <c r="DM135" s="36"/>
      <c r="DN135" s="26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</row>
    <row r="136">
      <c r="A136" s="27"/>
      <c r="B136" s="27"/>
      <c r="C136" s="27"/>
      <c r="D136" s="27"/>
      <c r="E136" s="27"/>
      <c r="F136" s="27"/>
      <c r="G136" s="28"/>
      <c r="H136" s="27"/>
      <c r="I136" s="29"/>
      <c r="J136" s="2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8"/>
      <c r="AR136" s="27"/>
      <c r="AS136" s="29"/>
      <c r="AT136" s="26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8"/>
      <c r="CB136" s="27"/>
      <c r="CC136" s="29"/>
      <c r="CD136" s="26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8"/>
      <c r="DL136" s="27"/>
      <c r="DM136" s="36"/>
      <c r="DN136" s="26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</row>
    <row r="137">
      <c r="A137" s="27"/>
      <c r="B137" s="27"/>
      <c r="C137" s="27"/>
      <c r="D137" s="27"/>
      <c r="E137" s="27"/>
      <c r="F137" s="27"/>
      <c r="G137" s="28"/>
      <c r="H137" s="27"/>
      <c r="I137" s="29"/>
      <c r="J137" s="2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8"/>
      <c r="AR137" s="27"/>
      <c r="AS137" s="29"/>
      <c r="AT137" s="26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8"/>
      <c r="CB137" s="27"/>
      <c r="CC137" s="29"/>
      <c r="CD137" s="26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8"/>
      <c r="DL137" s="27"/>
      <c r="DM137" s="36"/>
      <c r="DN137" s="26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</row>
    <row r="138">
      <c r="A138" s="27"/>
      <c r="B138" s="27"/>
      <c r="C138" s="27"/>
      <c r="D138" s="27"/>
      <c r="E138" s="27"/>
      <c r="F138" s="27"/>
      <c r="G138" s="28"/>
      <c r="H138" s="27"/>
      <c r="I138" s="29"/>
      <c r="J138" s="2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8"/>
      <c r="AR138" s="27"/>
      <c r="AS138" s="29"/>
      <c r="AT138" s="26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8"/>
      <c r="CB138" s="27"/>
      <c r="CC138" s="29"/>
      <c r="CD138" s="26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8"/>
      <c r="DL138" s="27"/>
      <c r="DM138" s="36"/>
      <c r="DN138" s="26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</row>
    <row r="139">
      <c r="A139" s="27"/>
      <c r="B139" s="27"/>
      <c r="C139" s="27"/>
      <c r="D139" s="27"/>
      <c r="E139" s="27"/>
      <c r="F139" s="27"/>
      <c r="G139" s="28"/>
      <c r="H139" s="27"/>
      <c r="I139" s="29"/>
      <c r="J139" s="2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8"/>
      <c r="AR139" s="27"/>
      <c r="AS139" s="29"/>
      <c r="AT139" s="26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8"/>
      <c r="CB139" s="27"/>
      <c r="CC139" s="29"/>
      <c r="CD139" s="26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8"/>
      <c r="DL139" s="27"/>
      <c r="DM139" s="36"/>
      <c r="DN139" s="26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</row>
    <row r="140">
      <c r="A140" s="27"/>
      <c r="B140" s="27"/>
      <c r="C140" s="27"/>
      <c r="D140" s="27"/>
      <c r="E140" s="27"/>
      <c r="F140" s="27"/>
      <c r="G140" s="28"/>
      <c r="H140" s="27"/>
      <c r="I140" s="29"/>
      <c r="J140" s="2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8"/>
      <c r="AR140" s="27"/>
      <c r="AS140" s="29"/>
      <c r="AT140" s="26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8"/>
      <c r="CB140" s="27"/>
      <c r="CC140" s="29"/>
      <c r="CD140" s="26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8"/>
      <c r="DL140" s="27"/>
      <c r="DM140" s="36"/>
      <c r="DN140" s="26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</row>
    <row r="141">
      <c r="A141" s="27"/>
      <c r="B141" s="27"/>
      <c r="C141" s="27"/>
      <c r="D141" s="27"/>
      <c r="E141" s="27"/>
      <c r="F141" s="27"/>
      <c r="G141" s="28"/>
      <c r="H141" s="27"/>
      <c r="I141" s="29"/>
      <c r="J141" s="2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8"/>
      <c r="AR141" s="27"/>
      <c r="AS141" s="29"/>
      <c r="AT141" s="26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8"/>
      <c r="CB141" s="27"/>
      <c r="CC141" s="29"/>
      <c r="CD141" s="26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8"/>
      <c r="DL141" s="27"/>
      <c r="DM141" s="36"/>
      <c r="DN141" s="26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</row>
    <row r="142">
      <c r="A142" s="27"/>
      <c r="B142" s="27"/>
      <c r="C142" s="27"/>
      <c r="D142" s="27"/>
      <c r="E142" s="27"/>
      <c r="F142" s="27"/>
      <c r="G142" s="28"/>
      <c r="H142" s="27"/>
      <c r="I142" s="29"/>
      <c r="J142" s="2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8"/>
      <c r="AR142" s="27"/>
      <c r="AS142" s="29"/>
      <c r="AT142" s="26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8"/>
      <c r="CB142" s="27"/>
      <c r="CC142" s="29"/>
      <c r="CD142" s="26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8"/>
      <c r="DL142" s="27"/>
      <c r="DM142" s="36"/>
      <c r="DN142" s="26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</row>
    <row r="143">
      <c r="A143" s="27"/>
      <c r="B143" s="27"/>
      <c r="C143" s="27"/>
      <c r="D143" s="27"/>
      <c r="E143" s="27"/>
      <c r="F143" s="27"/>
      <c r="G143" s="28"/>
      <c r="H143" s="27"/>
      <c r="I143" s="29"/>
      <c r="J143" s="2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8"/>
      <c r="AR143" s="27"/>
      <c r="AS143" s="29"/>
      <c r="AT143" s="26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8"/>
      <c r="CB143" s="27"/>
      <c r="CC143" s="29"/>
      <c r="CD143" s="26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8"/>
      <c r="DL143" s="27"/>
      <c r="DM143" s="36"/>
      <c r="DN143" s="26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</row>
    <row r="144">
      <c r="A144" s="27"/>
      <c r="B144" s="27"/>
      <c r="C144" s="27"/>
      <c r="D144" s="27"/>
      <c r="E144" s="27"/>
      <c r="F144" s="27"/>
      <c r="G144" s="28"/>
      <c r="H144" s="27"/>
      <c r="I144" s="29"/>
      <c r="J144" s="2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8"/>
      <c r="AR144" s="27"/>
      <c r="AS144" s="29"/>
      <c r="AT144" s="26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8"/>
      <c r="CB144" s="27"/>
      <c r="CC144" s="29"/>
      <c r="CD144" s="26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8"/>
      <c r="DL144" s="27"/>
      <c r="DM144" s="36"/>
      <c r="DN144" s="26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</row>
    <row r="145">
      <c r="A145" s="27"/>
      <c r="B145" s="27"/>
      <c r="C145" s="27"/>
      <c r="D145" s="27"/>
      <c r="E145" s="27"/>
      <c r="F145" s="27"/>
      <c r="G145" s="28"/>
      <c r="H145" s="27"/>
      <c r="I145" s="29"/>
      <c r="J145" s="2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8"/>
      <c r="AR145" s="27"/>
      <c r="AS145" s="29"/>
      <c r="AT145" s="26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8"/>
      <c r="CB145" s="27"/>
      <c r="CC145" s="29"/>
      <c r="CD145" s="26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8"/>
      <c r="DL145" s="27"/>
      <c r="DM145" s="36"/>
      <c r="DN145" s="26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</row>
    <row r="146">
      <c r="A146" s="27"/>
      <c r="B146" s="27"/>
      <c r="C146" s="27"/>
      <c r="D146" s="27"/>
      <c r="E146" s="27"/>
      <c r="F146" s="27"/>
      <c r="G146" s="28"/>
      <c r="H146" s="27"/>
      <c r="I146" s="29"/>
      <c r="J146" s="2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8"/>
      <c r="AR146" s="27"/>
      <c r="AS146" s="29"/>
      <c r="AT146" s="26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8"/>
      <c r="CB146" s="27"/>
      <c r="CC146" s="29"/>
      <c r="CD146" s="26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8"/>
      <c r="DL146" s="27"/>
      <c r="DM146" s="36"/>
      <c r="DN146" s="26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</row>
    <row r="147">
      <c r="A147" s="27"/>
      <c r="B147" s="27"/>
      <c r="C147" s="27"/>
      <c r="D147" s="27"/>
      <c r="E147" s="27"/>
      <c r="F147" s="27"/>
      <c r="G147" s="28"/>
      <c r="H147" s="27"/>
      <c r="I147" s="29"/>
      <c r="J147" s="2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8"/>
      <c r="AR147" s="27"/>
      <c r="AS147" s="29"/>
      <c r="AT147" s="26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8"/>
      <c r="CB147" s="27"/>
      <c r="CC147" s="29"/>
      <c r="CD147" s="26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8"/>
      <c r="DL147" s="27"/>
      <c r="DM147" s="36"/>
      <c r="DN147" s="26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</row>
    <row r="148">
      <c r="A148" s="27"/>
      <c r="B148" s="27"/>
      <c r="C148" s="27"/>
      <c r="D148" s="27"/>
      <c r="E148" s="27"/>
      <c r="F148" s="27"/>
      <c r="G148" s="28"/>
      <c r="H148" s="27"/>
      <c r="I148" s="29"/>
      <c r="J148" s="2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8"/>
      <c r="AR148" s="27"/>
      <c r="AS148" s="29"/>
      <c r="AT148" s="26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8"/>
      <c r="CB148" s="27"/>
      <c r="CC148" s="29"/>
      <c r="CD148" s="26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8"/>
      <c r="DL148" s="27"/>
      <c r="DM148" s="36"/>
      <c r="DN148" s="26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</row>
    <row r="149">
      <c r="A149" s="27"/>
      <c r="B149" s="27"/>
      <c r="C149" s="27"/>
      <c r="D149" s="27"/>
      <c r="E149" s="27"/>
      <c r="F149" s="27"/>
      <c r="G149" s="28"/>
      <c r="H149" s="27"/>
      <c r="I149" s="29"/>
      <c r="J149" s="2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8"/>
      <c r="AR149" s="27"/>
      <c r="AS149" s="29"/>
      <c r="AT149" s="26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8"/>
      <c r="CB149" s="27"/>
      <c r="CC149" s="29"/>
      <c r="CD149" s="26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8"/>
      <c r="DL149" s="27"/>
      <c r="DM149" s="36"/>
      <c r="DN149" s="26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</row>
    <row r="150">
      <c r="A150" s="27"/>
      <c r="B150" s="27"/>
      <c r="C150" s="27"/>
      <c r="D150" s="27"/>
      <c r="E150" s="27"/>
      <c r="F150" s="27"/>
      <c r="G150" s="28"/>
      <c r="H150" s="27"/>
      <c r="I150" s="29"/>
      <c r="J150" s="2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8"/>
      <c r="AR150" s="27"/>
      <c r="AS150" s="29"/>
      <c r="AT150" s="26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8"/>
      <c r="CB150" s="27"/>
      <c r="CC150" s="29"/>
      <c r="CD150" s="26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8"/>
      <c r="DL150" s="27"/>
      <c r="DM150" s="36"/>
      <c r="DN150" s="26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</row>
    <row r="151">
      <c r="A151" s="27"/>
      <c r="B151" s="27"/>
      <c r="C151" s="27"/>
      <c r="D151" s="27"/>
      <c r="E151" s="27"/>
      <c r="F151" s="27"/>
      <c r="G151" s="28"/>
      <c r="H151" s="27"/>
      <c r="I151" s="29"/>
      <c r="J151" s="2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8"/>
      <c r="AR151" s="27"/>
      <c r="AS151" s="29"/>
      <c r="AT151" s="26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8"/>
      <c r="CB151" s="27"/>
      <c r="CC151" s="29"/>
      <c r="CD151" s="26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8"/>
      <c r="DL151" s="27"/>
      <c r="DM151" s="36"/>
      <c r="DN151" s="26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</row>
    <row r="152">
      <c r="A152" s="27"/>
      <c r="B152" s="27"/>
      <c r="C152" s="27"/>
      <c r="D152" s="27"/>
      <c r="E152" s="27"/>
      <c r="F152" s="27"/>
      <c r="G152" s="28"/>
      <c r="H152" s="27"/>
      <c r="I152" s="29"/>
      <c r="J152" s="2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8"/>
      <c r="AR152" s="27"/>
      <c r="AS152" s="29"/>
      <c r="AT152" s="26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8"/>
      <c r="CB152" s="27"/>
      <c r="CC152" s="29"/>
      <c r="CD152" s="26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8"/>
      <c r="DL152" s="27"/>
      <c r="DM152" s="36"/>
      <c r="DN152" s="26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</row>
    <row r="153">
      <c r="A153" s="27"/>
      <c r="B153" s="27"/>
      <c r="C153" s="27"/>
      <c r="D153" s="27"/>
      <c r="E153" s="27"/>
      <c r="F153" s="27"/>
      <c r="G153" s="28"/>
      <c r="H153" s="27"/>
      <c r="I153" s="29"/>
      <c r="J153" s="2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8"/>
      <c r="AR153" s="27"/>
      <c r="AS153" s="29"/>
      <c r="AT153" s="26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8"/>
      <c r="CB153" s="27"/>
      <c r="CC153" s="29"/>
      <c r="CD153" s="26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8"/>
      <c r="DL153" s="27"/>
      <c r="DM153" s="36"/>
      <c r="DN153" s="26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</row>
    <row r="154">
      <c r="A154" s="27"/>
      <c r="B154" s="27"/>
      <c r="C154" s="27"/>
      <c r="D154" s="27"/>
      <c r="E154" s="27"/>
      <c r="F154" s="27"/>
      <c r="G154" s="28"/>
      <c r="H154" s="27"/>
      <c r="I154" s="29"/>
      <c r="J154" s="2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8"/>
      <c r="AR154" s="27"/>
      <c r="AS154" s="29"/>
      <c r="AT154" s="26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8"/>
      <c r="CB154" s="27"/>
      <c r="CC154" s="29"/>
      <c r="CD154" s="26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8"/>
      <c r="DL154" s="27"/>
      <c r="DM154" s="36"/>
      <c r="DN154" s="26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</row>
    <row r="155">
      <c r="A155" s="27"/>
      <c r="B155" s="27"/>
      <c r="C155" s="27"/>
      <c r="D155" s="27"/>
      <c r="E155" s="27"/>
      <c r="F155" s="27"/>
      <c r="G155" s="28"/>
      <c r="H155" s="27"/>
      <c r="I155" s="29"/>
      <c r="J155" s="2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8"/>
      <c r="AR155" s="27"/>
      <c r="AS155" s="29"/>
      <c r="AT155" s="26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8"/>
      <c r="CB155" s="27"/>
      <c r="CC155" s="29"/>
      <c r="CD155" s="26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8"/>
      <c r="DL155" s="27"/>
      <c r="DM155" s="36"/>
      <c r="DN155" s="26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</row>
    <row r="156">
      <c r="A156" s="27"/>
      <c r="B156" s="27"/>
      <c r="C156" s="27"/>
      <c r="D156" s="27"/>
      <c r="E156" s="27"/>
      <c r="F156" s="27"/>
      <c r="G156" s="28"/>
      <c r="H156" s="27"/>
      <c r="I156" s="29"/>
      <c r="J156" s="2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8"/>
      <c r="AR156" s="27"/>
      <c r="AS156" s="29"/>
      <c r="AT156" s="26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8"/>
      <c r="CB156" s="27"/>
      <c r="CC156" s="29"/>
      <c r="CD156" s="26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8"/>
      <c r="DL156" s="27"/>
      <c r="DM156" s="36"/>
      <c r="DN156" s="26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</row>
    <row r="157">
      <c r="A157" s="27"/>
      <c r="B157" s="27"/>
      <c r="C157" s="27"/>
      <c r="D157" s="27"/>
      <c r="E157" s="27"/>
      <c r="F157" s="27"/>
      <c r="G157" s="28"/>
      <c r="H157" s="27"/>
      <c r="I157" s="29"/>
      <c r="J157" s="2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8"/>
      <c r="AR157" s="27"/>
      <c r="AS157" s="29"/>
      <c r="AT157" s="26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8"/>
      <c r="CB157" s="27"/>
      <c r="CC157" s="29"/>
      <c r="CD157" s="26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8"/>
      <c r="DL157" s="27"/>
      <c r="DM157" s="36"/>
      <c r="DN157" s="26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</row>
    <row r="158">
      <c r="A158" s="27"/>
      <c r="B158" s="27"/>
      <c r="C158" s="27"/>
      <c r="D158" s="27"/>
      <c r="E158" s="27"/>
      <c r="F158" s="27"/>
      <c r="G158" s="28"/>
      <c r="H158" s="27"/>
      <c r="I158" s="29"/>
      <c r="J158" s="2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8"/>
      <c r="AR158" s="27"/>
      <c r="AS158" s="29"/>
      <c r="AT158" s="26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8"/>
      <c r="CB158" s="27"/>
      <c r="CC158" s="29"/>
      <c r="CD158" s="26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8"/>
      <c r="DL158" s="27"/>
      <c r="DM158" s="36"/>
      <c r="DN158" s="26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</row>
    <row r="159">
      <c r="A159" s="27"/>
      <c r="B159" s="27"/>
      <c r="C159" s="27"/>
      <c r="D159" s="27"/>
      <c r="E159" s="27"/>
      <c r="F159" s="27"/>
      <c r="G159" s="28"/>
      <c r="H159" s="27"/>
      <c r="I159" s="29"/>
      <c r="J159" s="2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8"/>
      <c r="AR159" s="27"/>
      <c r="AS159" s="29"/>
      <c r="AT159" s="26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8"/>
      <c r="CB159" s="27"/>
      <c r="CC159" s="29"/>
      <c r="CD159" s="26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8"/>
      <c r="DL159" s="27"/>
      <c r="DM159" s="36"/>
      <c r="DN159" s="26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</row>
    <row r="160">
      <c r="A160" s="27"/>
      <c r="B160" s="27"/>
      <c r="C160" s="27"/>
      <c r="D160" s="27"/>
      <c r="E160" s="27"/>
      <c r="F160" s="27"/>
      <c r="G160" s="28"/>
      <c r="H160" s="27"/>
      <c r="I160" s="29"/>
      <c r="J160" s="2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8"/>
      <c r="AR160" s="27"/>
      <c r="AS160" s="29"/>
      <c r="AT160" s="26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8"/>
      <c r="CB160" s="27"/>
      <c r="CC160" s="29"/>
      <c r="CD160" s="26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8"/>
      <c r="DL160" s="27"/>
      <c r="DM160" s="36"/>
      <c r="DN160" s="26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</row>
    <row r="161">
      <c r="A161" s="27"/>
      <c r="B161" s="27"/>
      <c r="C161" s="27"/>
      <c r="D161" s="27"/>
      <c r="E161" s="27"/>
      <c r="F161" s="27"/>
      <c r="G161" s="28"/>
      <c r="H161" s="27"/>
      <c r="I161" s="29"/>
      <c r="J161" s="2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8"/>
      <c r="AR161" s="27"/>
      <c r="AS161" s="29"/>
      <c r="AT161" s="26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8"/>
      <c r="CB161" s="27"/>
      <c r="CC161" s="29"/>
      <c r="CD161" s="26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8"/>
      <c r="DL161" s="27"/>
      <c r="DM161" s="36"/>
      <c r="DN161" s="26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</row>
    <row r="162">
      <c r="A162" s="27"/>
      <c r="B162" s="27"/>
      <c r="C162" s="27"/>
      <c r="D162" s="27"/>
      <c r="E162" s="27"/>
      <c r="F162" s="27"/>
      <c r="G162" s="28"/>
      <c r="H162" s="27"/>
      <c r="I162" s="29"/>
      <c r="J162" s="2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8"/>
      <c r="AR162" s="27"/>
      <c r="AS162" s="29"/>
      <c r="AT162" s="26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8"/>
      <c r="CB162" s="27"/>
      <c r="CC162" s="29"/>
      <c r="CD162" s="26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8"/>
      <c r="DL162" s="27"/>
      <c r="DM162" s="36"/>
      <c r="DN162" s="26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</row>
    <row r="163">
      <c r="A163" s="27"/>
      <c r="B163" s="27"/>
      <c r="C163" s="27"/>
      <c r="D163" s="27"/>
      <c r="E163" s="27"/>
      <c r="F163" s="27"/>
      <c r="G163" s="28"/>
      <c r="H163" s="27"/>
      <c r="I163" s="29"/>
      <c r="J163" s="2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8"/>
      <c r="AR163" s="27"/>
      <c r="AS163" s="29"/>
      <c r="AT163" s="26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8"/>
      <c r="CB163" s="27"/>
      <c r="CC163" s="29"/>
      <c r="CD163" s="26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8"/>
      <c r="DL163" s="27"/>
      <c r="DM163" s="36"/>
      <c r="DN163" s="26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</row>
    <row r="164">
      <c r="A164" s="27"/>
      <c r="B164" s="27"/>
      <c r="C164" s="27"/>
      <c r="D164" s="27"/>
      <c r="E164" s="27"/>
      <c r="F164" s="27"/>
      <c r="G164" s="28"/>
      <c r="H164" s="27"/>
      <c r="I164" s="29"/>
      <c r="J164" s="2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8"/>
      <c r="AR164" s="27"/>
      <c r="AS164" s="29"/>
      <c r="AT164" s="26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8"/>
      <c r="CB164" s="27"/>
      <c r="CC164" s="29"/>
      <c r="CD164" s="26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8"/>
      <c r="DL164" s="27"/>
      <c r="DM164" s="36"/>
      <c r="DN164" s="26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</row>
    <row r="165">
      <c r="A165" s="27"/>
      <c r="B165" s="27"/>
      <c r="C165" s="27"/>
      <c r="D165" s="27"/>
      <c r="E165" s="27"/>
      <c r="F165" s="27"/>
      <c r="G165" s="28"/>
      <c r="H165" s="27"/>
      <c r="I165" s="29"/>
      <c r="J165" s="2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8"/>
      <c r="AR165" s="27"/>
      <c r="AS165" s="29"/>
      <c r="AT165" s="26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8"/>
      <c r="CB165" s="27"/>
      <c r="CC165" s="29"/>
      <c r="CD165" s="26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8"/>
      <c r="DL165" s="27"/>
      <c r="DM165" s="36"/>
      <c r="DN165" s="26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</row>
    <row r="166">
      <c r="A166" s="27"/>
      <c r="B166" s="27"/>
      <c r="C166" s="27"/>
      <c r="D166" s="27"/>
      <c r="E166" s="27"/>
      <c r="F166" s="27"/>
      <c r="G166" s="28"/>
      <c r="H166" s="27"/>
      <c r="I166" s="29"/>
      <c r="J166" s="2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8"/>
      <c r="AR166" s="27"/>
      <c r="AS166" s="29"/>
      <c r="AT166" s="26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8"/>
      <c r="CB166" s="27"/>
      <c r="CC166" s="29"/>
      <c r="CD166" s="26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8"/>
      <c r="DL166" s="27"/>
      <c r="DM166" s="36"/>
      <c r="DN166" s="26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</row>
    <row r="167">
      <c r="A167" s="27"/>
      <c r="B167" s="27"/>
      <c r="C167" s="27"/>
      <c r="D167" s="27"/>
      <c r="E167" s="27"/>
      <c r="F167" s="27"/>
      <c r="G167" s="28"/>
      <c r="H167" s="27"/>
      <c r="I167" s="29"/>
      <c r="J167" s="2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8"/>
      <c r="AR167" s="27"/>
      <c r="AS167" s="29"/>
      <c r="AT167" s="26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8"/>
      <c r="CB167" s="27"/>
      <c r="CC167" s="29"/>
      <c r="CD167" s="26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8"/>
      <c r="DL167" s="27"/>
      <c r="DM167" s="36"/>
      <c r="DN167" s="26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</row>
    <row r="168">
      <c r="A168" s="27"/>
      <c r="B168" s="27"/>
      <c r="C168" s="27"/>
      <c r="D168" s="27"/>
      <c r="E168" s="27"/>
      <c r="F168" s="27"/>
      <c r="G168" s="28"/>
      <c r="H168" s="27"/>
      <c r="I168" s="29"/>
      <c r="J168" s="2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8"/>
      <c r="AR168" s="27"/>
      <c r="AS168" s="29"/>
      <c r="AT168" s="26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8"/>
      <c r="CB168" s="27"/>
      <c r="CC168" s="29"/>
      <c r="CD168" s="26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8"/>
      <c r="DL168" s="27"/>
      <c r="DM168" s="36"/>
      <c r="DN168" s="26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</row>
    <row r="169">
      <c r="A169" s="27"/>
      <c r="B169" s="27"/>
      <c r="C169" s="27"/>
      <c r="D169" s="27"/>
      <c r="E169" s="27"/>
      <c r="F169" s="27"/>
      <c r="G169" s="28"/>
      <c r="H169" s="27"/>
      <c r="I169" s="29"/>
      <c r="J169" s="2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8"/>
      <c r="AR169" s="27"/>
      <c r="AS169" s="29"/>
      <c r="AT169" s="26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8"/>
      <c r="CB169" s="27"/>
      <c r="CC169" s="29"/>
      <c r="CD169" s="26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8"/>
      <c r="DL169" s="27"/>
      <c r="DM169" s="36"/>
      <c r="DN169" s="26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</row>
    <row r="170">
      <c r="A170" s="27"/>
      <c r="B170" s="27"/>
      <c r="C170" s="27"/>
      <c r="D170" s="27"/>
      <c r="E170" s="27"/>
      <c r="F170" s="27"/>
      <c r="G170" s="28"/>
      <c r="H170" s="27"/>
      <c r="I170" s="29"/>
      <c r="J170" s="2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8"/>
      <c r="AR170" s="27"/>
      <c r="AS170" s="29"/>
      <c r="AT170" s="26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8"/>
      <c r="CB170" s="27"/>
      <c r="CC170" s="29"/>
      <c r="CD170" s="26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8"/>
      <c r="DL170" s="27"/>
      <c r="DM170" s="36"/>
      <c r="DN170" s="26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</row>
    <row r="171">
      <c r="A171" s="27"/>
      <c r="B171" s="27"/>
      <c r="C171" s="27"/>
      <c r="D171" s="27"/>
      <c r="E171" s="27"/>
      <c r="F171" s="27"/>
      <c r="G171" s="28"/>
      <c r="H171" s="27"/>
      <c r="I171" s="29"/>
      <c r="J171" s="2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8"/>
      <c r="AR171" s="27"/>
      <c r="AS171" s="29"/>
      <c r="AT171" s="26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8"/>
      <c r="CB171" s="27"/>
      <c r="CC171" s="29"/>
      <c r="CD171" s="26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8"/>
      <c r="DL171" s="27"/>
      <c r="DM171" s="36"/>
      <c r="DN171" s="26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</row>
    <row r="172">
      <c r="A172" s="27"/>
      <c r="B172" s="27"/>
      <c r="C172" s="27"/>
      <c r="D172" s="27"/>
      <c r="E172" s="27"/>
      <c r="F172" s="27"/>
      <c r="G172" s="28"/>
      <c r="H172" s="27"/>
      <c r="I172" s="29"/>
      <c r="J172" s="2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8"/>
      <c r="AR172" s="27"/>
      <c r="AS172" s="29"/>
      <c r="AT172" s="26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8"/>
      <c r="CB172" s="27"/>
      <c r="CC172" s="29"/>
      <c r="CD172" s="26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8"/>
      <c r="DL172" s="27"/>
      <c r="DM172" s="36"/>
      <c r="DN172" s="26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</row>
    <row r="173">
      <c r="A173" s="27"/>
      <c r="B173" s="27"/>
      <c r="C173" s="27"/>
      <c r="D173" s="27"/>
      <c r="E173" s="27"/>
      <c r="F173" s="27"/>
      <c r="G173" s="28"/>
      <c r="H173" s="27"/>
      <c r="I173" s="29"/>
      <c r="J173" s="2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8"/>
      <c r="AR173" s="27"/>
      <c r="AS173" s="29"/>
      <c r="AT173" s="26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8"/>
      <c r="CB173" s="27"/>
      <c r="CC173" s="29"/>
      <c r="CD173" s="26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8"/>
      <c r="DL173" s="27"/>
      <c r="DM173" s="36"/>
      <c r="DN173" s="26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</row>
    <row r="174">
      <c r="A174" s="27"/>
      <c r="B174" s="27"/>
      <c r="C174" s="27"/>
      <c r="D174" s="27"/>
      <c r="E174" s="27"/>
      <c r="F174" s="27"/>
      <c r="G174" s="28"/>
      <c r="H174" s="27"/>
      <c r="I174" s="29"/>
      <c r="J174" s="2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8"/>
      <c r="AR174" s="27"/>
      <c r="AS174" s="29"/>
      <c r="AT174" s="26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8"/>
      <c r="CB174" s="27"/>
      <c r="CC174" s="29"/>
      <c r="CD174" s="26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8"/>
      <c r="DL174" s="27"/>
      <c r="DM174" s="36"/>
      <c r="DN174" s="26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</row>
    <row r="175">
      <c r="A175" s="27"/>
      <c r="B175" s="27"/>
      <c r="C175" s="27"/>
      <c r="D175" s="27"/>
      <c r="E175" s="27"/>
      <c r="F175" s="27"/>
      <c r="G175" s="28"/>
      <c r="H175" s="27"/>
      <c r="I175" s="29"/>
      <c r="J175" s="2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8"/>
      <c r="AR175" s="27"/>
      <c r="AS175" s="29"/>
      <c r="AT175" s="26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8"/>
      <c r="CB175" s="27"/>
      <c r="CC175" s="29"/>
      <c r="CD175" s="26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8"/>
      <c r="DL175" s="27"/>
      <c r="DM175" s="36"/>
      <c r="DN175" s="26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</row>
    <row r="176">
      <c r="A176" s="27"/>
      <c r="B176" s="27"/>
      <c r="C176" s="27"/>
      <c r="D176" s="27"/>
      <c r="E176" s="27"/>
      <c r="F176" s="27"/>
      <c r="G176" s="28"/>
      <c r="H176" s="27"/>
      <c r="I176" s="29"/>
      <c r="J176" s="2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8"/>
      <c r="AR176" s="27"/>
      <c r="AS176" s="29"/>
      <c r="AT176" s="26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8"/>
      <c r="CB176" s="27"/>
      <c r="CC176" s="29"/>
      <c r="CD176" s="26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8"/>
      <c r="DL176" s="27"/>
      <c r="DM176" s="36"/>
      <c r="DN176" s="26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</row>
    <row r="177">
      <c r="A177" s="27"/>
      <c r="B177" s="27"/>
      <c r="C177" s="27"/>
      <c r="D177" s="27"/>
      <c r="E177" s="27"/>
      <c r="F177" s="27"/>
      <c r="G177" s="28"/>
      <c r="H177" s="27"/>
      <c r="I177" s="29"/>
      <c r="J177" s="2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8"/>
      <c r="AR177" s="27"/>
      <c r="AS177" s="29"/>
      <c r="AT177" s="26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8"/>
      <c r="CB177" s="27"/>
      <c r="CC177" s="29"/>
      <c r="CD177" s="26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8"/>
      <c r="DL177" s="27"/>
      <c r="DM177" s="36"/>
      <c r="DN177" s="26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</row>
    <row r="178">
      <c r="A178" s="27"/>
      <c r="B178" s="27"/>
      <c r="C178" s="27"/>
      <c r="D178" s="27"/>
      <c r="E178" s="27"/>
      <c r="F178" s="27"/>
      <c r="G178" s="28"/>
      <c r="H178" s="27"/>
      <c r="I178" s="29"/>
      <c r="J178" s="2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8"/>
      <c r="AR178" s="27"/>
      <c r="AS178" s="29"/>
      <c r="AT178" s="26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8"/>
      <c r="CB178" s="27"/>
      <c r="CC178" s="29"/>
      <c r="CD178" s="26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8"/>
      <c r="DL178" s="27"/>
      <c r="DM178" s="36"/>
      <c r="DN178" s="26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</row>
    <row r="179">
      <c r="A179" s="27"/>
      <c r="B179" s="27"/>
      <c r="C179" s="27"/>
      <c r="D179" s="27"/>
      <c r="E179" s="27"/>
      <c r="F179" s="27"/>
      <c r="G179" s="28"/>
      <c r="H179" s="27"/>
      <c r="I179" s="29"/>
      <c r="J179" s="2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8"/>
      <c r="AR179" s="27"/>
      <c r="AS179" s="29"/>
      <c r="AT179" s="26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8"/>
      <c r="CB179" s="27"/>
      <c r="CC179" s="29"/>
      <c r="CD179" s="26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8"/>
      <c r="DL179" s="27"/>
      <c r="DM179" s="36"/>
      <c r="DN179" s="26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</row>
    <row r="180">
      <c r="A180" s="27"/>
      <c r="B180" s="27"/>
      <c r="C180" s="27"/>
      <c r="D180" s="27"/>
      <c r="E180" s="27"/>
      <c r="F180" s="27"/>
      <c r="G180" s="28"/>
      <c r="H180" s="27"/>
      <c r="I180" s="29"/>
      <c r="J180" s="2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8"/>
      <c r="AR180" s="27"/>
      <c r="AS180" s="29"/>
      <c r="AT180" s="26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8"/>
      <c r="CB180" s="27"/>
      <c r="CC180" s="29"/>
      <c r="CD180" s="26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8"/>
      <c r="DL180" s="27"/>
      <c r="DM180" s="36"/>
      <c r="DN180" s="26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</row>
    <row r="181">
      <c r="A181" s="27"/>
      <c r="B181" s="27"/>
      <c r="C181" s="27"/>
      <c r="D181" s="27"/>
      <c r="E181" s="27"/>
      <c r="F181" s="27"/>
      <c r="G181" s="28"/>
      <c r="H181" s="27"/>
      <c r="I181" s="29"/>
      <c r="J181" s="2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8"/>
      <c r="AR181" s="27"/>
      <c r="AS181" s="29"/>
      <c r="AT181" s="26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8"/>
      <c r="CB181" s="27"/>
      <c r="CC181" s="29"/>
      <c r="CD181" s="26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8"/>
      <c r="DL181" s="27"/>
      <c r="DM181" s="36"/>
      <c r="DN181" s="26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</row>
    <row r="182">
      <c r="A182" s="27"/>
      <c r="B182" s="27"/>
      <c r="C182" s="27"/>
      <c r="D182" s="27"/>
      <c r="E182" s="27"/>
      <c r="F182" s="27"/>
      <c r="G182" s="28"/>
      <c r="H182" s="27"/>
      <c r="I182" s="29"/>
      <c r="J182" s="2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8"/>
      <c r="AR182" s="27"/>
      <c r="AS182" s="29"/>
      <c r="AT182" s="26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8"/>
      <c r="CB182" s="27"/>
      <c r="CC182" s="29"/>
      <c r="CD182" s="26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8"/>
      <c r="DL182" s="27"/>
      <c r="DM182" s="36"/>
      <c r="DN182" s="26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</row>
    <row r="183">
      <c r="A183" s="27"/>
      <c r="B183" s="27"/>
      <c r="C183" s="27"/>
      <c r="D183" s="27"/>
      <c r="E183" s="27"/>
      <c r="F183" s="27"/>
      <c r="G183" s="28"/>
      <c r="H183" s="27"/>
      <c r="I183" s="29"/>
      <c r="J183" s="2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8"/>
      <c r="AR183" s="27"/>
      <c r="AS183" s="29"/>
      <c r="AT183" s="26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8"/>
      <c r="CB183" s="27"/>
      <c r="CC183" s="29"/>
      <c r="CD183" s="26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8"/>
      <c r="DL183" s="27"/>
      <c r="DM183" s="36"/>
      <c r="DN183" s="26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</row>
    <row r="184">
      <c r="A184" s="27"/>
      <c r="B184" s="27"/>
      <c r="C184" s="27"/>
      <c r="D184" s="27"/>
      <c r="E184" s="27"/>
      <c r="F184" s="27"/>
      <c r="G184" s="28"/>
      <c r="H184" s="27"/>
      <c r="I184" s="29"/>
      <c r="J184" s="2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8"/>
      <c r="AR184" s="27"/>
      <c r="AS184" s="29"/>
      <c r="AT184" s="26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8"/>
      <c r="CB184" s="27"/>
      <c r="CC184" s="29"/>
      <c r="CD184" s="26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8"/>
      <c r="DL184" s="27"/>
      <c r="DM184" s="36"/>
      <c r="DN184" s="26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</row>
    <row r="185">
      <c r="A185" s="27"/>
      <c r="B185" s="27"/>
      <c r="C185" s="27"/>
      <c r="D185" s="27"/>
      <c r="E185" s="27"/>
      <c r="F185" s="27"/>
      <c r="G185" s="28"/>
      <c r="H185" s="27"/>
      <c r="I185" s="29"/>
      <c r="J185" s="2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8"/>
      <c r="AR185" s="27"/>
      <c r="AS185" s="29"/>
      <c r="AT185" s="26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8"/>
      <c r="CB185" s="27"/>
      <c r="CC185" s="29"/>
      <c r="CD185" s="26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8"/>
      <c r="DL185" s="27"/>
      <c r="DM185" s="36"/>
      <c r="DN185" s="26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</row>
    <row r="186">
      <c r="A186" s="27"/>
      <c r="B186" s="27"/>
      <c r="C186" s="27"/>
      <c r="D186" s="27"/>
      <c r="E186" s="27"/>
      <c r="F186" s="27"/>
      <c r="G186" s="28"/>
      <c r="H186" s="27"/>
      <c r="I186" s="29"/>
      <c r="J186" s="2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8"/>
      <c r="AR186" s="27"/>
      <c r="AS186" s="29"/>
      <c r="AT186" s="26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8"/>
      <c r="CB186" s="27"/>
      <c r="CC186" s="29"/>
      <c r="CD186" s="26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8"/>
      <c r="DL186" s="27"/>
      <c r="DM186" s="36"/>
      <c r="DN186" s="26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</row>
    <row r="187">
      <c r="A187" s="27"/>
      <c r="B187" s="27"/>
      <c r="C187" s="27"/>
      <c r="D187" s="27"/>
      <c r="E187" s="27"/>
      <c r="F187" s="27"/>
      <c r="G187" s="28"/>
      <c r="H187" s="27"/>
      <c r="I187" s="29"/>
      <c r="J187" s="2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8"/>
      <c r="AR187" s="27"/>
      <c r="AS187" s="29"/>
      <c r="AT187" s="26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8"/>
      <c r="CB187" s="27"/>
      <c r="CC187" s="29"/>
      <c r="CD187" s="26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8"/>
      <c r="DL187" s="27"/>
      <c r="DM187" s="36"/>
      <c r="DN187" s="26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</row>
    <row r="188">
      <c r="A188" s="27"/>
      <c r="B188" s="27"/>
      <c r="C188" s="27"/>
      <c r="D188" s="27"/>
      <c r="E188" s="27"/>
      <c r="F188" s="27"/>
      <c r="G188" s="28"/>
      <c r="H188" s="27"/>
      <c r="I188" s="29"/>
      <c r="J188" s="2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8"/>
      <c r="AR188" s="27"/>
      <c r="AS188" s="29"/>
      <c r="AT188" s="26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8"/>
      <c r="CB188" s="27"/>
      <c r="CC188" s="29"/>
      <c r="CD188" s="26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8"/>
      <c r="DL188" s="27"/>
      <c r="DM188" s="36"/>
      <c r="DN188" s="26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</row>
    <row r="189">
      <c r="A189" s="27"/>
      <c r="B189" s="27"/>
      <c r="C189" s="27"/>
      <c r="D189" s="27"/>
      <c r="E189" s="27"/>
      <c r="F189" s="27"/>
      <c r="G189" s="28"/>
      <c r="H189" s="27"/>
      <c r="I189" s="29"/>
      <c r="J189" s="2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8"/>
      <c r="AR189" s="27"/>
      <c r="AS189" s="29"/>
      <c r="AT189" s="26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8"/>
      <c r="CB189" s="27"/>
      <c r="CC189" s="29"/>
      <c r="CD189" s="26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8"/>
      <c r="DL189" s="27"/>
      <c r="DM189" s="36"/>
      <c r="DN189" s="26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</row>
    <row r="190">
      <c r="A190" s="27"/>
      <c r="B190" s="27"/>
      <c r="C190" s="27"/>
      <c r="D190" s="27"/>
      <c r="E190" s="27"/>
      <c r="F190" s="27"/>
      <c r="G190" s="28"/>
      <c r="H190" s="27"/>
      <c r="I190" s="29"/>
      <c r="J190" s="2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8"/>
      <c r="AR190" s="27"/>
      <c r="AS190" s="29"/>
      <c r="AT190" s="26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8"/>
      <c r="CB190" s="27"/>
      <c r="CC190" s="29"/>
      <c r="CD190" s="26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8"/>
      <c r="DL190" s="27"/>
      <c r="DM190" s="36"/>
      <c r="DN190" s="26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</row>
    <row r="191">
      <c r="A191" s="27"/>
      <c r="B191" s="27"/>
      <c r="C191" s="27"/>
      <c r="D191" s="27"/>
      <c r="E191" s="27"/>
      <c r="F191" s="27"/>
      <c r="G191" s="28"/>
      <c r="H191" s="27"/>
      <c r="I191" s="29"/>
      <c r="J191" s="2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8"/>
      <c r="AR191" s="27"/>
      <c r="AS191" s="29"/>
      <c r="AT191" s="26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8"/>
      <c r="CB191" s="27"/>
      <c r="CC191" s="29"/>
      <c r="CD191" s="26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8"/>
      <c r="DL191" s="27"/>
      <c r="DM191" s="36"/>
      <c r="DN191" s="26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</row>
    <row r="192">
      <c r="A192" s="27"/>
      <c r="B192" s="27"/>
      <c r="C192" s="27"/>
      <c r="D192" s="27"/>
      <c r="E192" s="27"/>
      <c r="F192" s="27"/>
      <c r="G192" s="28"/>
      <c r="H192" s="27"/>
      <c r="I192" s="29"/>
      <c r="J192" s="2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8"/>
      <c r="AR192" s="27"/>
      <c r="AS192" s="29"/>
      <c r="AT192" s="26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8"/>
      <c r="CB192" s="27"/>
      <c r="CC192" s="29"/>
      <c r="CD192" s="26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8"/>
      <c r="DL192" s="27"/>
      <c r="DM192" s="36"/>
      <c r="DN192" s="26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</row>
    <row r="193">
      <c r="A193" s="27"/>
      <c r="B193" s="27"/>
      <c r="C193" s="27"/>
      <c r="D193" s="27"/>
      <c r="E193" s="27"/>
      <c r="F193" s="27"/>
      <c r="G193" s="28"/>
      <c r="H193" s="27"/>
      <c r="I193" s="29"/>
      <c r="J193" s="2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8"/>
      <c r="AR193" s="27"/>
      <c r="AS193" s="29"/>
      <c r="AT193" s="26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8"/>
      <c r="CB193" s="27"/>
      <c r="CC193" s="29"/>
      <c r="CD193" s="26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8"/>
      <c r="DL193" s="27"/>
      <c r="DM193" s="36"/>
      <c r="DN193" s="26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</row>
    <row r="194">
      <c r="A194" s="27"/>
      <c r="B194" s="27"/>
      <c r="C194" s="27"/>
      <c r="D194" s="27"/>
      <c r="E194" s="27"/>
      <c r="F194" s="27"/>
      <c r="G194" s="28"/>
      <c r="H194" s="27"/>
      <c r="I194" s="29"/>
      <c r="J194" s="2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8"/>
      <c r="AR194" s="27"/>
      <c r="AS194" s="29"/>
      <c r="AT194" s="26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8"/>
      <c r="CB194" s="27"/>
      <c r="CC194" s="29"/>
      <c r="CD194" s="26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8"/>
      <c r="DL194" s="27"/>
      <c r="DM194" s="36"/>
      <c r="DN194" s="26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</row>
    <row r="195">
      <c r="A195" s="27"/>
      <c r="B195" s="27"/>
      <c r="C195" s="27"/>
      <c r="D195" s="27"/>
      <c r="E195" s="27"/>
      <c r="F195" s="27"/>
      <c r="G195" s="28"/>
      <c r="H195" s="27"/>
      <c r="I195" s="29"/>
      <c r="J195" s="2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8"/>
      <c r="AR195" s="27"/>
      <c r="AS195" s="29"/>
      <c r="AT195" s="26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8"/>
      <c r="CB195" s="27"/>
      <c r="CC195" s="29"/>
      <c r="CD195" s="26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8"/>
      <c r="DL195" s="27"/>
      <c r="DM195" s="36"/>
      <c r="DN195" s="26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</row>
    <row r="196">
      <c r="A196" s="27"/>
      <c r="B196" s="27"/>
      <c r="C196" s="27"/>
      <c r="D196" s="27"/>
      <c r="E196" s="27"/>
      <c r="F196" s="27"/>
      <c r="G196" s="28"/>
      <c r="H196" s="27"/>
      <c r="I196" s="29"/>
      <c r="J196" s="2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8"/>
      <c r="AR196" s="27"/>
      <c r="AS196" s="29"/>
      <c r="AT196" s="26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8"/>
      <c r="CB196" s="27"/>
      <c r="CC196" s="29"/>
      <c r="CD196" s="26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8"/>
      <c r="DL196" s="27"/>
      <c r="DM196" s="36"/>
      <c r="DN196" s="26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</row>
    <row r="197">
      <c r="A197" s="27"/>
      <c r="B197" s="27"/>
      <c r="C197" s="27"/>
      <c r="D197" s="27"/>
      <c r="E197" s="27"/>
      <c r="F197" s="27"/>
      <c r="G197" s="28"/>
      <c r="H197" s="27"/>
      <c r="I197" s="29"/>
      <c r="J197" s="2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8"/>
      <c r="AR197" s="27"/>
      <c r="AS197" s="29"/>
      <c r="AT197" s="26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8"/>
      <c r="CB197" s="27"/>
      <c r="CC197" s="29"/>
      <c r="CD197" s="26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8"/>
      <c r="DL197" s="27"/>
      <c r="DM197" s="36"/>
      <c r="DN197" s="26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</row>
    <row r="198">
      <c r="A198" s="27"/>
      <c r="B198" s="27"/>
      <c r="C198" s="27"/>
      <c r="D198" s="27"/>
      <c r="E198" s="27"/>
      <c r="F198" s="27"/>
      <c r="G198" s="28"/>
      <c r="H198" s="27"/>
      <c r="I198" s="29"/>
      <c r="J198" s="2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8"/>
      <c r="AR198" s="27"/>
      <c r="AS198" s="29"/>
      <c r="AT198" s="26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8"/>
      <c r="CB198" s="27"/>
      <c r="CC198" s="29"/>
      <c r="CD198" s="26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8"/>
      <c r="DL198" s="27"/>
      <c r="DM198" s="36"/>
      <c r="DN198" s="26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</row>
    <row r="199">
      <c r="A199" s="27"/>
      <c r="B199" s="27"/>
      <c r="C199" s="27"/>
      <c r="D199" s="27"/>
      <c r="E199" s="27"/>
      <c r="F199" s="27"/>
      <c r="G199" s="28"/>
      <c r="H199" s="27"/>
      <c r="I199" s="29"/>
      <c r="J199" s="2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8"/>
      <c r="AR199" s="27"/>
      <c r="AS199" s="29"/>
      <c r="AT199" s="26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8"/>
      <c r="CB199" s="27"/>
      <c r="CC199" s="29"/>
      <c r="CD199" s="26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8"/>
      <c r="DL199" s="27"/>
      <c r="DM199" s="36"/>
      <c r="DN199" s="26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</row>
    <row r="200">
      <c r="A200" s="27"/>
      <c r="B200" s="27"/>
      <c r="C200" s="27"/>
      <c r="D200" s="27"/>
      <c r="E200" s="27"/>
      <c r="F200" s="27"/>
      <c r="G200" s="28"/>
      <c r="H200" s="27"/>
      <c r="I200" s="29"/>
      <c r="J200" s="2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8"/>
      <c r="AR200" s="27"/>
      <c r="AS200" s="29"/>
      <c r="AT200" s="26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8"/>
      <c r="CB200" s="27"/>
      <c r="CC200" s="29"/>
      <c r="CD200" s="26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8"/>
      <c r="DL200" s="27"/>
      <c r="DM200" s="36"/>
      <c r="DN200" s="26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</row>
    <row r="201">
      <c r="A201" s="27"/>
      <c r="B201" s="27"/>
      <c r="C201" s="27"/>
      <c r="D201" s="27"/>
      <c r="E201" s="27"/>
      <c r="F201" s="27"/>
      <c r="G201" s="28"/>
      <c r="H201" s="27"/>
      <c r="I201" s="29"/>
      <c r="J201" s="2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8"/>
      <c r="AR201" s="27"/>
      <c r="AS201" s="29"/>
      <c r="AT201" s="26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8"/>
      <c r="CB201" s="27"/>
      <c r="CC201" s="29"/>
      <c r="CD201" s="26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8"/>
      <c r="DL201" s="27"/>
      <c r="DM201" s="36"/>
      <c r="DN201" s="26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</row>
    <row r="202">
      <c r="A202" s="27"/>
      <c r="B202" s="27"/>
      <c r="C202" s="27"/>
      <c r="D202" s="27"/>
      <c r="E202" s="27"/>
      <c r="F202" s="27"/>
      <c r="G202" s="28"/>
      <c r="H202" s="27"/>
      <c r="I202" s="29"/>
      <c r="J202" s="2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8"/>
      <c r="AR202" s="27"/>
      <c r="AS202" s="29"/>
      <c r="AT202" s="26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8"/>
      <c r="CB202" s="27"/>
      <c r="CC202" s="29"/>
      <c r="CD202" s="26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8"/>
      <c r="DL202" s="27"/>
      <c r="DM202" s="36"/>
      <c r="DN202" s="26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</row>
    <row r="203">
      <c r="A203" s="27"/>
      <c r="B203" s="27"/>
      <c r="C203" s="27"/>
      <c r="D203" s="27"/>
      <c r="E203" s="27"/>
      <c r="F203" s="27"/>
      <c r="G203" s="28"/>
      <c r="H203" s="27"/>
      <c r="I203" s="29"/>
      <c r="J203" s="2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8"/>
      <c r="AR203" s="27"/>
      <c r="AS203" s="29"/>
      <c r="AT203" s="26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8"/>
      <c r="CB203" s="27"/>
      <c r="CC203" s="29"/>
      <c r="CD203" s="26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8"/>
      <c r="DL203" s="27"/>
      <c r="DM203" s="36"/>
      <c r="DN203" s="26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</row>
    <row r="204">
      <c r="A204" s="27"/>
      <c r="B204" s="27"/>
      <c r="C204" s="27"/>
      <c r="D204" s="27"/>
      <c r="E204" s="27"/>
      <c r="F204" s="27"/>
      <c r="G204" s="28"/>
      <c r="H204" s="27"/>
      <c r="I204" s="29"/>
      <c r="J204" s="2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8"/>
      <c r="AR204" s="27"/>
      <c r="AS204" s="29"/>
      <c r="AT204" s="26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8"/>
      <c r="CB204" s="27"/>
      <c r="CC204" s="29"/>
      <c r="CD204" s="26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8"/>
      <c r="DL204" s="27"/>
      <c r="DM204" s="36"/>
      <c r="DN204" s="26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</row>
    <row r="205">
      <c r="A205" s="27"/>
      <c r="B205" s="27"/>
      <c r="C205" s="27"/>
      <c r="D205" s="27"/>
      <c r="E205" s="27"/>
      <c r="F205" s="27"/>
      <c r="G205" s="28"/>
      <c r="H205" s="27"/>
      <c r="I205" s="29"/>
      <c r="J205" s="2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8"/>
      <c r="AR205" s="27"/>
      <c r="AS205" s="29"/>
      <c r="AT205" s="26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8"/>
      <c r="CB205" s="27"/>
      <c r="CC205" s="29"/>
      <c r="CD205" s="26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8"/>
      <c r="DL205" s="27"/>
      <c r="DM205" s="36"/>
      <c r="DN205" s="26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</row>
    <row r="206">
      <c r="A206" s="27"/>
      <c r="B206" s="27"/>
      <c r="C206" s="27"/>
      <c r="D206" s="27"/>
      <c r="E206" s="27"/>
      <c r="F206" s="27"/>
      <c r="G206" s="28"/>
      <c r="H206" s="27"/>
      <c r="I206" s="29"/>
      <c r="J206" s="2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8"/>
      <c r="AR206" s="27"/>
      <c r="AS206" s="29"/>
      <c r="AT206" s="26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8"/>
      <c r="CB206" s="27"/>
      <c r="CC206" s="29"/>
      <c r="CD206" s="26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8"/>
      <c r="DL206" s="27"/>
      <c r="DM206" s="36"/>
      <c r="DN206" s="26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</row>
    <row r="207">
      <c r="A207" s="27"/>
      <c r="B207" s="27"/>
      <c r="C207" s="27"/>
      <c r="D207" s="27"/>
      <c r="E207" s="27"/>
      <c r="F207" s="27"/>
      <c r="G207" s="28"/>
      <c r="H207" s="27"/>
      <c r="I207" s="29"/>
      <c r="J207" s="2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8"/>
      <c r="AR207" s="27"/>
      <c r="AS207" s="29"/>
      <c r="AT207" s="26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8"/>
      <c r="CB207" s="27"/>
      <c r="CC207" s="29"/>
      <c r="CD207" s="26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8"/>
      <c r="DL207" s="27"/>
      <c r="DM207" s="36"/>
      <c r="DN207" s="26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</row>
    <row r="208">
      <c r="A208" s="27"/>
      <c r="B208" s="27"/>
      <c r="C208" s="27"/>
      <c r="D208" s="27"/>
      <c r="E208" s="27"/>
      <c r="F208" s="27"/>
      <c r="G208" s="28"/>
      <c r="H208" s="27"/>
      <c r="I208" s="29"/>
      <c r="J208" s="2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8"/>
      <c r="AR208" s="27"/>
      <c r="AS208" s="29"/>
      <c r="AT208" s="26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8"/>
      <c r="CB208" s="27"/>
      <c r="CC208" s="29"/>
      <c r="CD208" s="26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8"/>
      <c r="DL208" s="27"/>
      <c r="DM208" s="36"/>
      <c r="DN208" s="26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</row>
    <row r="209">
      <c r="A209" s="27"/>
      <c r="B209" s="27"/>
      <c r="C209" s="27"/>
      <c r="D209" s="27"/>
      <c r="E209" s="27"/>
      <c r="F209" s="27"/>
      <c r="G209" s="28"/>
      <c r="H209" s="27"/>
      <c r="I209" s="29"/>
      <c r="J209" s="2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8"/>
      <c r="AR209" s="27"/>
      <c r="AS209" s="29"/>
      <c r="AT209" s="26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8"/>
      <c r="CB209" s="27"/>
      <c r="CC209" s="29"/>
      <c r="CD209" s="26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8"/>
      <c r="DL209" s="27"/>
      <c r="DM209" s="36"/>
      <c r="DN209" s="26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</row>
    <row r="210">
      <c r="A210" s="27"/>
      <c r="B210" s="27"/>
      <c r="C210" s="27"/>
      <c r="D210" s="27"/>
      <c r="E210" s="27"/>
      <c r="F210" s="27"/>
      <c r="G210" s="28"/>
      <c r="H210" s="27"/>
      <c r="I210" s="29"/>
      <c r="J210" s="2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8"/>
      <c r="AR210" s="27"/>
      <c r="AS210" s="29"/>
      <c r="AT210" s="26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8"/>
      <c r="CB210" s="27"/>
      <c r="CC210" s="29"/>
      <c r="CD210" s="26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8"/>
      <c r="DL210" s="27"/>
      <c r="DM210" s="36"/>
      <c r="DN210" s="26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</row>
    <row r="211">
      <c r="A211" s="27"/>
      <c r="B211" s="27"/>
      <c r="C211" s="27"/>
      <c r="D211" s="27"/>
      <c r="E211" s="27"/>
      <c r="F211" s="27"/>
      <c r="G211" s="28"/>
      <c r="H211" s="27"/>
      <c r="I211" s="29"/>
      <c r="J211" s="2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8"/>
      <c r="AR211" s="27"/>
      <c r="AS211" s="29"/>
      <c r="AT211" s="26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8"/>
      <c r="CB211" s="27"/>
      <c r="CC211" s="29"/>
      <c r="CD211" s="26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8"/>
      <c r="DL211" s="27"/>
      <c r="DM211" s="36"/>
      <c r="DN211" s="26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</row>
    <row r="212">
      <c r="A212" s="27"/>
      <c r="B212" s="27"/>
      <c r="C212" s="27"/>
      <c r="D212" s="27"/>
      <c r="E212" s="27"/>
      <c r="F212" s="27"/>
      <c r="G212" s="28"/>
      <c r="H212" s="27"/>
      <c r="I212" s="29"/>
      <c r="J212" s="2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8"/>
      <c r="AR212" s="27"/>
      <c r="AS212" s="29"/>
      <c r="AT212" s="26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8"/>
      <c r="CB212" s="27"/>
      <c r="CC212" s="29"/>
      <c r="CD212" s="26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8"/>
      <c r="DL212" s="27"/>
      <c r="DM212" s="36"/>
      <c r="DN212" s="26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</row>
    <row r="213">
      <c r="A213" s="27"/>
      <c r="B213" s="27"/>
      <c r="C213" s="27"/>
      <c r="D213" s="27"/>
      <c r="E213" s="27"/>
      <c r="F213" s="27"/>
      <c r="G213" s="28"/>
      <c r="H213" s="27"/>
      <c r="I213" s="29"/>
      <c r="J213" s="2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8"/>
      <c r="AR213" s="27"/>
      <c r="AS213" s="29"/>
      <c r="AT213" s="26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8"/>
      <c r="CB213" s="27"/>
      <c r="CC213" s="29"/>
      <c r="CD213" s="26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8"/>
      <c r="DL213" s="27"/>
      <c r="DM213" s="36"/>
      <c r="DN213" s="26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</row>
    <row r="214">
      <c r="A214" s="27"/>
      <c r="B214" s="27"/>
      <c r="C214" s="27"/>
      <c r="D214" s="27"/>
      <c r="E214" s="27"/>
      <c r="F214" s="27"/>
      <c r="G214" s="28"/>
      <c r="H214" s="27"/>
      <c r="I214" s="29"/>
      <c r="J214" s="2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8"/>
      <c r="AR214" s="27"/>
      <c r="AS214" s="29"/>
      <c r="AT214" s="26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8"/>
      <c r="CB214" s="27"/>
      <c r="CC214" s="29"/>
      <c r="CD214" s="26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8"/>
      <c r="DL214" s="27"/>
      <c r="DM214" s="36"/>
      <c r="DN214" s="26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</row>
    <row r="215">
      <c r="A215" s="27"/>
      <c r="B215" s="27"/>
      <c r="C215" s="27"/>
      <c r="D215" s="27"/>
      <c r="E215" s="27"/>
      <c r="F215" s="27"/>
      <c r="G215" s="28"/>
      <c r="H215" s="27"/>
      <c r="I215" s="29"/>
      <c r="J215" s="2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8"/>
      <c r="AR215" s="27"/>
      <c r="AS215" s="29"/>
      <c r="AT215" s="26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8"/>
      <c r="CB215" s="27"/>
      <c r="CC215" s="29"/>
      <c r="CD215" s="26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8"/>
      <c r="DL215" s="27"/>
      <c r="DM215" s="36"/>
      <c r="DN215" s="26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</row>
    <row r="216">
      <c r="A216" s="27"/>
      <c r="B216" s="27"/>
      <c r="C216" s="27"/>
      <c r="D216" s="27"/>
      <c r="E216" s="27"/>
      <c r="F216" s="27"/>
      <c r="G216" s="28"/>
      <c r="H216" s="27"/>
      <c r="I216" s="29"/>
      <c r="J216" s="2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8"/>
      <c r="AR216" s="27"/>
      <c r="AS216" s="29"/>
      <c r="AT216" s="26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8"/>
      <c r="CB216" s="27"/>
      <c r="CC216" s="29"/>
      <c r="CD216" s="26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8"/>
      <c r="DL216" s="27"/>
      <c r="DM216" s="36"/>
      <c r="DN216" s="26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</row>
    <row r="217">
      <c r="A217" s="27"/>
      <c r="B217" s="27"/>
      <c r="C217" s="27"/>
      <c r="D217" s="27"/>
      <c r="E217" s="27"/>
      <c r="F217" s="27"/>
      <c r="G217" s="28"/>
      <c r="H217" s="27"/>
      <c r="I217" s="29"/>
      <c r="J217" s="2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8"/>
      <c r="AR217" s="27"/>
      <c r="AS217" s="29"/>
      <c r="AT217" s="26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8"/>
      <c r="CB217" s="27"/>
      <c r="CC217" s="29"/>
      <c r="CD217" s="26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8"/>
      <c r="DL217" s="27"/>
      <c r="DM217" s="36"/>
      <c r="DN217" s="26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</row>
    <row r="218">
      <c r="A218" s="27"/>
      <c r="B218" s="27"/>
      <c r="C218" s="27"/>
      <c r="D218" s="27"/>
      <c r="E218" s="27"/>
      <c r="F218" s="27"/>
      <c r="G218" s="28"/>
      <c r="H218" s="27"/>
      <c r="I218" s="29"/>
      <c r="J218" s="2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8"/>
      <c r="AR218" s="27"/>
      <c r="AS218" s="29"/>
      <c r="AT218" s="26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8"/>
      <c r="CB218" s="27"/>
      <c r="CC218" s="29"/>
      <c r="CD218" s="26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8"/>
      <c r="DL218" s="27"/>
      <c r="DM218" s="36"/>
      <c r="DN218" s="26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</row>
    <row r="219">
      <c r="A219" s="27"/>
      <c r="B219" s="27"/>
      <c r="C219" s="27"/>
      <c r="D219" s="27"/>
      <c r="E219" s="27"/>
      <c r="F219" s="27"/>
      <c r="G219" s="28"/>
      <c r="H219" s="27"/>
      <c r="I219" s="29"/>
      <c r="J219" s="2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8"/>
      <c r="AR219" s="27"/>
      <c r="AS219" s="29"/>
      <c r="AT219" s="26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8"/>
      <c r="CB219" s="27"/>
      <c r="CC219" s="29"/>
      <c r="CD219" s="26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8"/>
      <c r="DL219" s="27"/>
      <c r="DM219" s="36"/>
      <c r="DN219" s="26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</row>
    <row r="220">
      <c r="A220" s="27"/>
      <c r="B220" s="27"/>
      <c r="C220" s="27"/>
      <c r="D220" s="27"/>
      <c r="E220" s="27"/>
      <c r="F220" s="27"/>
      <c r="G220" s="28"/>
      <c r="H220" s="27"/>
      <c r="I220" s="29"/>
      <c r="J220" s="2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8"/>
      <c r="AR220" s="27"/>
      <c r="AS220" s="29"/>
      <c r="AT220" s="26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8"/>
      <c r="CB220" s="27"/>
      <c r="CC220" s="29"/>
      <c r="CD220" s="26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8"/>
      <c r="DL220" s="27"/>
      <c r="DM220" s="36"/>
      <c r="DN220" s="26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</row>
    <row r="221">
      <c r="A221" s="27"/>
      <c r="B221" s="27"/>
      <c r="C221" s="27"/>
      <c r="D221" s="27"/>
      <c r="E221" s="27"/>
      <c r="F221" s="27"/>
      <c r="G221" s="28"/>
      <c r="H221" s="27"/>
      <c r="I221" s="29"/>
      <c r="J221" s="2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8"/>
      <c r="AR221" s="27"/>
      <c r="AS221" s="29"/>
      <c r="AT221" s="26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8"/>
      <c r="CB221" s="27"/>
      <c r="CC221" s="29"/>
      <c r="CD221" s="26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8"/>
      <c r="DL221" s="27"/>
      <c r="DM221" s="36"/>
      <c r="DN221" s="26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</row>
    <row r="222">
      <c r="A222" s="27"/>
      <c r="B222" s="27"/>
      <c r="C222" s="27"/>
      <c r="D222" s="27"/>
      <c r="E222" s="27"/>
      <c r="F222" s="27"/>
      <c r="G222" s="28"/>
      <c r="H222" s="27"/>
      <c r="I222" s="29"/>
      <c r="J222" s="2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8"/>
      <c r="AR222" s="27"/>
      <c r="AS222" s="29"/>
      <c r="AT222" s="26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8"/>
      <c r="CB222" s="27"/>
      <c r="CC222" s="29"/>
      <c r="CD222" s="26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8"/>
      <c r="DL222" s="27"/>
      <c r="DM222" s="36"/>
      <c r="DN222" s="26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</row>
    <row r="223">
      <c r="A223" s="27"/>
      <c r="B223" s="27"/>
      <c r="C223" s="27"/>
      <c r="D223" s="27"/>
      <c r="E223" s="27"/>
      <c r="F223" s="27"/>
      <c r="G223" s="28"/>
      <c r="H223" s="27"/>
      <c r="I223" s="29"/>
      <c r="J223" s="2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8"/>
      <c r="AR223" s="27"/>
      <c r="AS223" s="29"/>
      <c r="AT223" s="26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8"/>
      <c r="CB223" s="27"/>
      <c r="CC223" s="29"/>
      <c r="CD223" s="26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8"/>
      <c r="DL223" s="27"/>
      <c r="DM223" s="36"/>
      <c r="DN223" s="26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</row>
    <row r="224">
      <c r="A224" s="27"/>
      <c r="B224" s="27"/>
      <c r="C224" s="27"/>
      <c r="D224" s="27"/>
      <c r="E224" s="27"/>
      <c r="F224" s="27"/>
      <c r="G224" s="28"/>
      <c r="H224" s="27"/>
      <c r="I224" s="29"/>
      <c r="J224" s="2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8"/>
      <c r="AR224" s="27"/>
      <c r="AS224" s="29"/>
      <c r="AT224" s="26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8"/>
      <c r="CB224" s="27"/>
      <c r="CC224" s="29"/>
      <c r="CD224" s="26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8"/>
      <c r="DL224" s="27"/>
      <c r="DM224" s="36"/>
      <c r="DN224" s="26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</row>
    <row r="225">
      <c r="A225" s="27"/>
      <c r="B225" s="27"/>
      <c r="C225" s="27"/>
      <c r="D225" s="27"/>
      <c r="E225" s="27"/>
      <c r="F225" s="27"/>
      <c r="G225" s="28"/>
      <c r="H225" s="27"/>
      <c r="I225" s="29"/>
      <c r="J225" s="2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8"/>
      <c r="AR225" s="27"/>
      <c r="AS225" s="29"/>
      <c r="AT225" s="26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8"/>
      <c r="CB225" s="27"/>
      <c r="CC225" s="29"/>
      <c r="CD225" s="26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8"/>
      <c r="DL225" s="27"/>
      <c r="DM225" s="36"/>
      <c r="DN225" s="26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</row>
    <row r="226">
      <c r="A226" s="27"/>
      <c r="B226" s="27"/>
      <c r="C226" s="27"/>
      <c r="D226" s="27"/>
      <c r="E226" s="27"/>
      <c r="F226" s="27"/>
      <c r="G226" s="28"/>
      <c r="H226" s="27"/>
      <c r="I226" s="29"/>
      <c r="J226" s="2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8"/>
      <c r="AR226" s="27"/>
      <c r="AS226" s="29"/>
      <c r="AT226" s="26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8"/>
      <c r="CB226" s="27"/>
      <c r="CC226" s="29"/>
      <c r="CD226" s="26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8"/>
      <c r="DL226" s="27"/>
      <c r="DM226" s="36"/>
      <c r="DN226" s="26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</row>
    <row r="227">
      <c r="A227" s="27"/>
      <c r="B227" s="27"/>
      <c r="C227" s="27"/>
      <c r="D227" s="27"/>
      <c r="E227" s="27"/>
      <c r="F227" s="27"/>
      <c r="G227" s="28"/>
      <c r="H227" s="27"/>
      <c r="I227" s="29"/>
      <c r="J227" s="2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8"/>
      <c r="AR227" s="27"/>
      <c r="AS227" s="29"/>
      <c r="AT227" s="26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8"/>
      <c r="CB227" s="27"/>
      <c r="CC227" s="29"/>
      <c r="CD227" s="26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8"/>
      <c r="DL227" s="27"/>
      <c r="DM227" s="36"/>
      <c r="DN227" s="26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</row>
    <row r="228">
      <c r="A228" s="27"/>
      <c r="B228" s="27"/>
      <c r="C228" s="27"/>
      <c r="D228" s="27"/>
      <c r="E228" s="27"/>
      <c r="F228" s="27"/>
      <c r="G228" s="28"/>
      <c r="H228" s="27"/>
      <c r="I228" s="29"/>
      <c r="J228" s="2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8"/>
      <c r="AR228" s="27"/>
      <c r="AS228" s="29"/>
      <c r="AT228" s="26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8"/>
      <c r="CB228" s="27"/>
      <c r="CC228" s="29"/>
      <c r="CD228" s="26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8"/>
      <c r="DL228" s="27"/>
      <c r="DM228" s="36"/>
      <c r="DN228" s="26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</row>
    <row r="229">
      <c r="A229" s="27"/>
      <c r="B229" s="27"/>
      <c r="C229" s="27"/>
      <c r="D229" s="27"/>
      <c r="E229" s="27"/>
      <c r="F229" s="27"/>
      <c r="G229" s="28"/>
      <c r="H229" s="27"/>
      <c r="I229" s="29"/>
      <c r="J229" s="2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8"/>
      <c r="AR229" s="27"/>
      <c r="AS229" s="29"/>
      <c r="AT229" s="26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8"/>
      <c r="CB229" s="27"/>
      <c r="CC229" s="29"/>
      <c r="CD229" s="26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8"/>
      <c r="DL229" s="27"/>
      <c r="DM229" s="36"/>
      <c r="DN229" s="26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</row>
    <row r="230">
      <c r="A230" s="27"/>
      <c r="B230" s="27"/>
      <c r="C230" s="27"/>
      <c r="D230" s="27"/>
      <c r="E230" s="27"/>
      <c r="F230" s="27"/>
      <c r="G230" s="28"/>
      <c r="H230" s="27"/>
      <c r="I230" s="29"/>
      <c r="J230" s="2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8"/>
      <c r="AR230" s="27"/>
      <c r="AS230" s="29"/>
      <c r="AT230" s="26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8"/>
      <c r="CB230" s="27"/>
      <c r="CC230" s="29"/>
      <c r="CD230" s="26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8"/>
      <c r="DL230" s="27"/>
      <c r="DM230" s="36"/>
      <c r="DN230" s="26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</row>
    <row r="231">
      <c r="A231" s="27"/>
      <c r="B231" s="27"/>
      <c r="C231" s="27"/>
      <c r="D231" s="27"/>
      <c r="E231" s="27"/>
      <c r="F231" s="27"/>
      <c r="G231" s="28"/>
      <c r="H231" s="27"/>
      <c r="I231" s="29"/>
      <c r="J231" s="2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8"/>
      <c r="AR231" s="27"/>
      <c r="AS231" s="29"/>
      <c r="AT231" s="26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8"/>
      <c r="CB231" s="27"/>
      <c r="CC231" s="29"/>
      <c r="CD231" s="26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8"/>
      <c r="DL231" s="27"/>
      <c r="DM231" s="36"/>
      <c r="DN231" s="26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</row>
    <row r="232">
      <c r="A232" s="27"/>
      <c r="B232" s="27"/>
      <c r="C232" s="27"/>
      <c r="D232" s="27"/>
      <c r="E232" s="27"/>
      <c r="F232" s="27"/>
      <c r="G232" s="28"/>
      <c r="H232" s="27"/>
      <c r="I232" s="29"/>
      <c r="J232" s="2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8"/>
      <c r="AR232" s="27"/>
      <c r="AS232" s="29"/>
      <c r="AT232" s="26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8"/>
      <c r="CB232" s="27"/>
      <c r="CC232" s="29"/>
      <c r="CD232" s="26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8"/>
      <c r="DL232" s="27"/>
      <c r="DM232" s="36"/>
      <c r="DN232" s="26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</row>
    <row r="233">
      <c r="A233" s="27"/>
      <c r="B233" s="27"/>
      <c r="C233" s="27"/>
      <c r="D233" s="27"/>
      <c r="E233" s="27"/>
      <c r="F233" s="27"/>
      <c r="G233" s="28"/>
      <c r="H233" s="27"/>
      <c r="I233" s="29"/>
      <c r="J233" s="2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8"/>
      <c r="AR233" s="27"/>
      <c r="AS233" s="29"/>
      <c r="AT233" s="26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8"/>
      <c r="CB233" s="27"/>
      <c r="CC233" s="29"/>
      <c r="CD233" s="26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8"/>
      <c r="DL233" s="27"/>
      <c r="DM233" s="36"/>
      <c r="DN233" s="26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</row>
    <row r="234">
      <c r="A234" s="27"/>
      <c r="B234" s="27"/>
      <c r="C234" s="27"/>
      <c r="D234" s="27"/>
      <c r="E234" s="27"/>
      <c r="F234" s="27"/>
      <c r="G234" s="28"/>
      <c r="H234" s="27"/>
      <c r="I234" s="29"/>
      <c r="J234" s="2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8"/>
      <c r="AR234" s="27"/>
      <c r="AS234" s="29"/>
      <c r="AT234" s="26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8"/>
      <c r="CB234" s="27"/>
      <c r="CC234" s="29"/>
      <c r="CD234" s="26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8"/>
      <c r="DL234" s="27"/>
      <c r="DM234" s="36"/>
      <c r="DN234" s="26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</row>
    <row r="235">
      <c r="A235" s="27"/>
      <c r="B235" s="27"/>
      <c r="C235" s="27"/>
      <c r="D235" s="27"/>
      <c r="E235" s="27"/>
      <c r="F235" s="27"/>
      <c r="G235" s="28"/>
      <c r="H235" s="27"/>
      <c r="I235" s="29"/>
      <c r="J235" s="2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8"/>
      <c r="AR235" s="27"/>
      <c r="AS235" s="29"/>
      <c r="AT235" s="26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8"/>
      <c r="CB235" s="27"/>
      <c r="CC235" s="29"/>
      <c r="CD235" s="26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8"/>
      <c r="DL235" s="27"/>
      <c r="DM235" s="36"/>
      <c r="DN235" s="26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</row>
    <row r="236">
      <c r="A236" s="27"/>
      <c r="B236" s="27"/>
      <c r="C236" s="27"/>
      <c r="D236" s="27"/>
      <c r="E236" s="27"/>
      <c r="F236" s="27"/>
      <c r="G236" s="28"/>
      <c r="H236" s="27"/>
      <c r="I236" s="29"/>
      <c r="J236" s="2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8"/>
      <c r="AR236" s="27"/>
      <c r="AS236" s="29"/>
      <c r="AT236" s="26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8"/>
      <c r="CB236" s="27"/>
      <c r="CC236" s="29"/>
      <c r="CD236" s="26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8"/>
      <c r="DL236" s="27"/>
      <c r="DM236" s="36"/>
      <c r="DN236" s="26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</row>
    <row r="237">
      <c r="A237" s="27"/>
      <c r="B237" s="27"/>
      <c r="C237" s="27"/>
      <c r="D237" s="27"/>
      <c r="E237" s="27"/>
      <c r="F237" s="27"/>
      <c r="G237" s="28"/>
      <c r="H237" s="27"/>
      <c r="I237" s="29"/>
      <c r="J237" s="2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8"/>
      <c r="AR237" s="27"/>
      <c r="AS237" s="29"/>
      <c r="AT237" s="26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8"/>
      <c r="CB237" s="27"/>
      <c r="CC237" s="29"/>
      <c r="CD237" s="26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8"/>
      <c r="DL237" s="27"/>
      <c r="DM237" s="36"/>
      <c r="DN237" s="26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</row>
    <row r="238">
      <c r="A238" s="27"/>
      <c r="B238" s="27"/>
      <c r="C238" s="27"/>
      <c r="D238" s="27"/>
      <c r="E238" s="27"/>
      <c r="F238" s="27"/>
      <c r="G238" s="28"/>
      <c r="H238" s="27"/>
      <c r="I238" s="29"/>
      <c r="J238" s="2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8"/>
      <c r="AR238" s="27"/>
      <c r="AS238" s="29"/>
      <c r="AT238" s="26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8"/>
      <c r="CB238" s="27"/>
      <c r="CC238" s="29"/>
      <c r="CD238" s="26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8"/>
      <c r="DL238" s="27"/>
      <c r="DM238" s="36"/>
      <c r="DN238" s="26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</row>
    <row r="239">
      <c r="A239" s="27"/>
      <c r="B239" s="27"/>
      <c r="C239" s="27"/>
      <c r="D239" s="27"/>
      <c r="E239" s="27"/>
      <c r="F239" s="27"/>
      <c r="G239" s="28"/>
      <c r="H239" s="27"/>
      <c r="I239" s="29"/>
      <c r="J239" s="2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8"/>
      <c r="AR239" s="27"/>
      <c r="AS239" s="29"/>
      <c r="AT239" s="26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8"/>
      <c r="CB239" s="27"/>
      <c r="CC239" s="29"/>
      <c r="CD239" s="26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8"/>
      <c r="DL239" s="27"/>
      <c r="DM239" s="36"/>
      <c r="DN239" s="26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</row>
    <row r="240">
      <c r="A240" s="27"/>
      <c r="B240" s="27"/>
      <c r="C240" s="27"/>
      <c r="D240" s="27"/>
      <c r="E240" s="27"/>
      <c r="F240" s="27"/>
      <c r="G240" s="28"/>
      <c r="H240" s="27"/>
      <c r="I240" s="29"/>
      <c r="J240" s="2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8"/>
      <c r="AR240" s="27"/>
      <c r="AS240" s="29"/>
      <c r="AT240" s="26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8"/>
      <c r="CB240" s="27"/>
      <c r="CC240" s="29"/>
      <c r="CD240" s="26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8"/>
      <c r="DL240" s="27"/>
      <c r="DM240" s="36"/>
      <c r="DN240" s="26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</row>
    <row r="241">
      <c r="A241" s="27"/>
      <c r="B241" s="27"/>
      <c r="C241" s="27"/>
      <c r="D241" s="27"/>
      <c r="E241" s="27"/>
      <c r="F241" s="27"/>
      <c r="G241" s="28"/>
      <c r="H241" s="27"/>
      <c r="I241" s="29"/>
      <c r="J241" s="2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8"/>
      <c r="AR241" s="27"/>
      <c r="AS241" s="29"/>
      <c r="AT241" s="26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8"/>
      <c r="CB241" s="27"/>
      <c r="CC241" s="29"/>
      <c r="CD241" s="26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8"/>
      <c r="DL241" s="27"/>
      <c r="DM241" s="36"/>
      <c r="DN241" s="26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</row>
    <row r="242">
      <c r="A242" s="27"/>
      <c r="B242" s="27"/>
      <c r="C242" s="27"/>
      <c r="D242" s="27"/>
      <c r="E242" s="27"/>
      <c r="F242" s="27"/>
      <c r="G242" s="28"/>
      <c r="H242" s="27"/>
      <c r="I242" s="29"/>
      <c r="J242" s="2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8"/>
      <c r="AR242" s="27"/>
      <c r="AS242" s="29"/>
      <c r="AT242" s="26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8"/>
      <c r="CB242" s="27"/>
      <c r="CC242" s="29"/>
      <c r="CD242" s="26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8"/>
      <c r="DL242" s="27"/>
      <c r="DM242" s="36"/>
      <c r="DN242" s="26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</row>
    <row r="243">
      <c r="A243" s="27"/>
      <c r="B243" s="27"/>
      <c r="C243" s="27"/>
      <c r="D243" s="27"/>
      <c r="E243" s="27"/>
      <c r="F243" s="27"/>
      <c r="G243" s="28"/>
      <c r="H243" s="27"/>
      <c r="I243" s="29"/>
      <c r="J243" s="2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8"/>
      <c r="AR243" s="27"/>
      <c r="AS243" s="29"/>
      <c r="AT243" s="26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8"/>
      <c r="CB243" s="27"/>
      <c r="CC243" s="29"/>
      <c r="CD243" s="26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8"/>
      <c r="DL243" s="27"/>
      <c r="DM243" s="36"/>
      <c r="DN243" s="26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</row>
    <row r="244">
      <c r="A244" s="27"/>
      <c r="B244" s="27"/>
      <c r="C244" s="27"/>
      <c r="D244" s="27"/>
      <c r="E244" s="27"/>
      <c r="F244" s="27"/>
      <c r="G244" s="28"/>
      <c r="H244" s="27"/>
      <c r="I244" s="29"/>
      <c r="J244" s="2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8"/>
      <c r="AR244" s="27"/>
      <c r="AS244" s="29"/>
      <c r="AT244" s="26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8"/>
      <c r="CB244" s="27"/>
      <c r="CC244" s="29"/>
      <c r="CD244" s="26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8"/>
      <c r="DL244" s="27"/>
      <c r="DM244" s="36"/>
      <c r="DN244" s="26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</row>
    <row r="245">
      <c r="A245" s="27"/>
      <c r="B245" s="27"/>
      <c r="C245" s="27"/>
      <c r="D245" s="27"/>
      <c r="E245" s="27"/>
      <c r="F245" s="27"/>
      <c r="G245" s="28"/>
      <c r="H245" s="27"/>
      <c r="I245" s="29"/>
      <c r="J245" s="2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8"/>
      <c r="AR245" s="27"/>
      <c r="AS245" s="29"/>
      <c r="AT245" s="26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8"/>
      <c r="CB245" s="27"/>
      <c r="CC245" s="29"/>
      <c r="CD245" s="26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8"/>
      <c r="DL245" s="27"/>
      <c r="DM245" s="36"/>
      <c r="DN245" s="26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</row>
    <row r="246">
      <c r="A246" s="27"/>
      <c r="B246" s="27"/>
      <c r="C246" s="27"/>
      <c r="D246" s="27"/>
      <c r="E246" s="27"/>
      <c r="F246" s="27"/>
      <c r="G246" s="28"/>
      <c r="H246" s="27"/>
      <c r="I246" s="29"/>
      <c r="J246" s="2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8"/>
      <c r="AR246" s="27"/>
      <c r="AS246" s="29"/>
      <c r="AT246" s="26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8"/>
      <c r="CB246" s="27"/>
      <c r="CC246" s="29"/>
      <c r="CD246" s="26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8"/>
      <c r="DL246" s="27"/>
      <c r="DM246" s="36"/>
      <c r="DN246" s="26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</row>
    <row r="247">
      <c r="A247" s="27"/>
      <c r="B247" s="27"/>
      <c r="C247" s="27"/>
      <c r="D247" s="27"/>
      <c r="E247" s="27"/>
      <c r="F247" s="27"/>
      <c r="G247" s="28"/>
      <c r="H247" s="27"/>
      <c r="I247" s="29"/>
      <c r="J247" s="2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8"/>
      <c r="AR247" s="27"/>
      <c r="AS247" s="29"/>
      <c r="AT247" s="26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8"/>
      <c r="CB247" s="27"/>
      <c r="CC247" s="29"/>
      <c r="CD247" s="26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8"/>
      <c r="DL247" s="27"/>
      <c r="DM247" s="36"/>
      <c r="DN247" s="26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</row>
    <row r="248">
      <c r="A248" s="27"/>
      <c r="B248" s="27"/>
      <c r="C248" s="27"/>
      <c r="D248" s="27"/>
      <c r="E248" s="27"/>
      <c r="F248" s="27"/>
      <c r="G248" s="28"/>
      <c r="H248" s="27"/>
      <c r="I248" s="29"/>
      <c r="J248" s="2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8"/>
      <c r="AR248" s="27"/>
      <c r="AS248" s="29"/>
      <c r="AT248" s="26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8"/>
      <c r="CB248" s="27"/>
      <c r="CC248" s="29"/>
      <c r="CD248" s="26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8"/>
      <c r="DL248" s="27"/>
      <c r="DM248" s="36"/>
      <c r="DN248" s="26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</row>
    <row r="249">
      <c r="A249" s="27"/>
      <c r="B249" s="27"/>
      <c r="C249" s="27"/>
      <c r="D249" s="27"/>
      <c r="E249" s="27"/>
      <c r="F249" s="27"/>
      <c r="G249" s="28"/>
      <c r="H249" s="27"/>
      <c r="I249" s="29"/>
      <c r="J249" s="2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8"/>
      <c r="AR249" s="27"/>
      <c r="AS249" s="29"/>
      <c r="AT249" s="26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8"/>
      <c r="CB249" s="27"/>
      <c r="CC249" s="29"/>
      <c r="CD249" s="26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8"/>
      <c r="DL249" s="27"/>
      <c r="DM249" s="36"/>
      <c r="DN249" s="26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</row>
    <row r="250">
      <c r="A250" s="27"/>
      <c r="B250" s="27"/>
      <c r="C250" s="27"/>
      <c r="D250" s="27"/>
      <c r="E250" s="27"/>
      <c r="F250" s="27"/>
      <c r="G250" s="28"/>
      <c r="H250" s="27"/>
      <c r="I250" s="29"/>
      <c r="J250" s="2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8"/>
      <c r="AR250" s="27"/>
      <c r="AS250" s="29"/>
      <c r="AT250" s="26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8"/>
      <c r="CB250" s="27"/>
      <c r="CC250" s="29"/>
      <c r="CD250" s="26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8"/>
      <c r="DL250" s="27"/>
      <c r="DM250" s="36"/>
      <c r="DN250" s="26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</row>
    <row r="251">
      <c r="A251" s="27"/>
      <c r="B251" s="27"/>
      <c r="C251" s="27"/>
      <c r="D251" s="27"/>
      <c r="E251" s="27"/>
      <c r="F251" s="27"/>
      <c r="G251" s="28"/>
      <c r="H251" s="27"/>
      <c r="I251" s="29"/>
      <c r="J251" s="2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8"/>
      <c r="AR251" s="27"/>
      <c r="AS251" s="29"/>
      <c r="AT251" s="26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8"/>
      <c r="CB251" s="27"/>
      <c r="CC251" s="29"/>
      <c r="CD251" s="26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8"/>
      <c r="DL251" s="27"/>
      <c r="DM251" s="36"/>
      <c r="DN251" s="26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</row>
    <row r="252">
      <c r="A252" s="27"/>
      <c r="B252" s="27"/>
      <c r="C252" s="27"/>
      <c r="D252" s="27"/>
      <c r="E252" s="27"/>
      <c r="F252" s="27"/>
      <c r="G252" s="28"/>
      <c r="H252" s="27"/>
      <c r="I252" s="29"/>
      <c r="J252" s="2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8"/>
      <c r="AR252" s="27"/>
      <c r="AS252" s="29"/>
      <c r="AT252" s="26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8"/>
      <c r="CB252" s="27"/>
      <c r="CC252" s="29"/>
      <c r="CD252" s="26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8"/>
      <c r="DL252" s="27"/>
      <c r="DM252" s="36"/>
      <c r="DN252" s="26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</row>
    <row r="253">
      <c r="A253" s="27"/>
      <c r="B253" s="27"/>
      <c r="C253" s="27"/>
      <c r="D253" s="27"/>
      <c r="E253" s="27"/>
      <c r="F253" s="27"/>
      <c r="G253" s="28"/>
      <c r="H253" s="27"/>
      <c r="I253" s="29"/>
      <c r="J253" s="2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8"/>
      <c r="AR253" s="27"/>
      <c r="AS253" s="29"/>
      <c r="AT253" s="26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8"/>
      <c r="CB253" s="27"/>
      <c r="CC253" s="29"/>
      <c r="CD253" s="26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8"/>
      <c r="DL253" s="27"/>
      <c r="DM253" s="36"/>
      <c r="DN253" s="26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</row>
    <row r="254">
      <c r="A254" s="27"/>
      <c r="B254" s="27"/>
      <c r="C254" s="27"/>
      <c r="D254" s="27"/>
      <c r="E254" s="27"/>
      <c r="F254" s="27"/>
      <c r="G254" s="28"/>
      <c r="H254" s="27"/>
      <c r="I254" s="29"/>
      <c r="J254" s="2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8"/>
      <c r="AR254" s="27"/>
      <c r="AS254" s="29"/>
      <c r="AT254" s="26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8"/>
      <c r="CB254" s="27"/>
      <c r="CC254" s="29"/>
      <c r="CD254" s="26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8"/>
      <c r="DL254" s="27"/>
      <c r="DM254" s="36"/>
      <c r="DN254" s="26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</row>
    <row r="255">
      <c r="A255" s="27"/>
      <c r="B255" s="27"/>
      <c r="C255" s="27"/>
      <c r="D255" s="27"/>
      <c r="E255" s="27"/>
      <c r="F255" s="27"/>
      <c r="G255" s="28"/>
      <c r="H255" s="27"/>
      <c r="I255" s="29"/>
      <c r="J255" s="2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8"/>
      <c r="AR255" s="27"/>
      <c r="AS255" s="29"/>
      <c r="AT255" s="26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8"/>
      <c r="CB255" s="27"/>
      <c r="CC255" s="29"/>
      <c r="CD255" s="26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8"/>
      <c r="DL255" s="27"/>
      <c r="DM255" s="36"/>
      <c r="DN255" s="26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</row>
    <row r="256">
      <c r="A256" s="27"/>
      <c r="B256" s="27"/>
      <c r="C256" s="27"/>
      <c r="D256" s="27"/>
      <c r="E256" s="27"/>
      <c r="F256" s="27"/>
      <c r="G256" s="28"/>
      <c r="H256" s="27"/>
      <c r="I256" s="29"/>
      <c r="J256" s="2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8"/>
      <c r="AR256" s="27"/>
      <c r="AS256" s="29"/>
      <c r="AT256" s="26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8"/>
      <c r="CB256" s="27"/>
      <c r="CC256" s="29"/>
      <c r="CD256" s="26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8"/>
      <c r="DL256" s="27"/>
      <c r="DM256" s="36"/>
      <c r="DN256" s="26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</row>
    <row r="257">
      <c r="A257" s="27"/>
      <c r="B257" s="27"/>
      <c r="C257" s="27"/>
      <c r="D257" s="27"/>
      <c r="E257" s="27"/>
      <c r="F257" s="27"/>
      <c r="G257" s="28"/>
      <c r="H257" s="27"/>
      <c r="I257" s="29"/>
      <c r="J257" s="2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8"/>
      <c r="AR257" s="27"/>
      <c r="AS257" s="29"/>
      <c r="AT257" s="26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8"/>
      <c r="CB257" s="27"/>
      <c r="CC257" s="29"/>
      <c r="CD257" s="26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8"/>
      <c r="DL257" s="27"/>
      <c r="DM257" s="36"/>
      <c r="DN257" s="26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</row>
    <row r="258">
      <c r="A258" s="27"/>
      <c r="B258" s="27"/>
      <c r="C258" s="27"/>
      <c r="D258" s="27"/>
      <c r="E258" s="27"/>
      <c r="F258" s="27"/>
      <c r="G258" s="28"/>
      <c r="H258" s="27"/>
      <c r="I258" s="29"/>
      <c r="J258" s="2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8"/>
      <c r="AR258" s="27"/>
      <c r="AS258" s="29"/>
      <c r="AT258" s="26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8"/>
      <c r="CB258" s="27"/>
      <c r="CC258" s="29"/>
      <c r="CD258" s="26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8"/>
      <c r="DL258" s="27"/>
      <c r="DM258" s="36"/>
      <c r="DN258" s="26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</row>
    <row r="259">
      <c r="A259" s="27"/>
      <c r="B259" s="27"/>
      <c r="C259" s="27"/>
      <c r="D259" s="27"/>
      <c r="E259" s="27"/>
      <c r="F259" s="27"/>
      <c r="G259" s="28"/>
      <c r="H259" s="27"/>
      <c r="I259" s="29"/>
      <c r="J259" s="2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8"/>
      <c r="AR259" s="27"/>
      <c r="AS259" s="29"/>
      <c r="AT259" s="26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8"/>
      <c r="CB259" s="27"/>
      <c r="CC259" s="29"/>
      <c r="CD259" s="26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8"/>
      <c r="DL259" s="27"/>
      <c r="DM259" s="36"/>
      <c r="DN259" s="26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</row>
    <row r="260">
      <c r="A260" s="27"/>
      <c r="B260" s="27"/>
      <c r="C260" s="27"/>
      <c r="D260" s="27"/>
      <c r="E260" s="27"/>
      <c r="F260" s="27"/>
      <c r="G260" s="28"/>
      <c r="H260" s="27"/>
      <c r="I260" s="29"/>
      <c r="J260" s="2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8"/>
      <c r="AR260" s="27"/>
      <c r="AS260" s="29"/>
      <c r="AT260" s="26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8"/>
      <c r="CB260" s="27"/>
      <c r="CC260" s="29"/>
      <c r="CD260" s="26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8"/>
      <c r="DL260" s="27"/>
      <c r="DM260" s="36"/>
      <c r="DN260" s="26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</row>
    <row r="261">
      <c r="A261" s="27"/>
      <c r="B261" s="27"/>
      <c r="C261" s="27"/>
      <c r="D261" s="27"/>
      <c r="E261" s="27"/>
      <c r="F261" s="27"/>
      <c r="G261" s="28"/>
      <c r="H261" s="27"/>
      <c r="I261" s="29"/>
      <c r="J261" s="2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8"/>
      <c r="AR261" s="27"/>
      <c r="AS261" s="29"/>
      <c r="AT261" s="26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8"/>
      <c r="CB261" s="27"/>
      <c r="CC261" s="29"/>
      <c r="CD261" s="26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8"/>
      <c r="DL261" s="27"/>
      <c r="DM261" s="36"/>
      <c r="DN261" s="26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</row>
    <row r="262">
      <c r="A262" s="27"/>
      <c r="B262" s="27"/>
      <c r="C262" s="27"/>
      <c r="D262" s="27"/>
      <c r="E262" s="27"/>
      <c r="F262" s="27"/>
      <c r="G262" s="28"/>
      <c r="H262" s="27"/>
      <c r="I262" s="29"/>
      <c r="J262" s="2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8"/>
      <c r="AR262" s="27"/>
      <c r="AS262" s="29"/>
      <c r="AT262" s="26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8"/>
      <c r="CB262" s="27"/>
      <c r="CC262" s="29"/>
      <c r="CD262" s="26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8"/>
      <c r="DL262" s="27"/>
      <c r="DM262" s="36"/>
      <c r="DN262" s="26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</row>
    <row r="263">
      <c r="A263" s="27"/>
      <c r="B263" s="27"/>
      <c r="C263" s="27"/>
      <c r="D263" s="27"/>
      <c r="E263" s="27"/>
      <c r="F263" s="27"/>
      <c r="G263" s="28"/>
      <c r="H263" s="27"/>
      <c r="I263" s="29"/>
      <c r="J263" s="2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8"/>
      <c r="AR263" s="27"/>
      <c r="AS263" s="29"/>
      <c r="AT263" s="26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8"/>
      <c r="CB263" s="27"/>
      <c r="CC263" s="29"/>
      <c r="CD263" s="26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8"/>
      <c r="DL263" s="27"/>
      <c r="DM263" s="36"/>
      <c r="DN263" s="26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</row>
    <row r="264">
      <c r="A264" s="27"/>
      <c r="B264" s="27"/>
      <c r="C264" s="27"/>
      <c r="D264" s="27"/>
      <c r="E264" s="27"/>
      <c r="F264" s="27"/>
      <c r="G264" s="28"/>
      <c r="H264" s="27"/>
      <c r="I264" s="29"/>
      <c r="J264" s="2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8"/>
      <c r="AR264" s="27"/>
      <c r="AS264" s="29"/>
      <c r="AT264" s="26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8"/>
      <c r="CB264" s="27"/>
      <c r="CC264" s="29"/>
      <c r="CD264" s="26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8"/>
      <c r="DL264" s="27"/>
      <c r="DM264" s="36"/>
      <c r="DN264" s="26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</row>
    <row r="265">
      <c r="A265" s="27"/>
      <c r="B265" s="27"/>
      <c r="C265" s="27"/>
      <c r="D265" s="27"/>
      <c r="E265" s="27"/>
      <c r="F265" s="27"/>
      <c r="G265" s="28"/>
      <c r="H265" s="27"/>
      <c r="I265" s="29"/>
      <c r="J265" s="2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8"/>
      <c r="AR265" s="27"/>
      <c r="AS265" s="29"/>
      <c r="AT265" s="26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8"/>
      <c r="CB265" s="27"/>
      <c r="CC265" s="29"/>
      <c r="CD265" s="26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8"/>
      <c r="DL265" s="27"/>
      <c r="DM265" s="36"/>
      <c r="DN265" s="26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</row>
    <row r="266">
      <c r="A266" s="27"/>
      <c r="B266" s="27"/>
      <c r="C266" s="27"/>
      <c r="D266" s="27"/>
      <c r="E266" s="27"/>
      <c r="F266" s="27"/>
      <c r="G266" s="28"/>
      <c r="H266" s="27"/>
      <c r="I266" s="29"/>
      <c r="J266" s="2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8"/>
      <c r="AR266" s="27"/>
      <c r="AS266" s="29"/>
      <c r="AT266" s="26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8"/>
      <c r="CB266" s="27"/>
      <c r="CC266" s="29"/>
      <c r="CD266" s="26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8"/>
      <c r="DL266" s="27"/>
      <c r="DM266" s="36"/>
      <c r="DN266" s="26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</row>
    <row r="267">
      <c r="A267" s="27"/>
      <c r="B267" s="27"/>
      <c r="C267" s="27"/>
      <c r="D267" s="27"/>
      <c r="E267" s="27"/>
      <c r="F267" s="27"/>
      <c r="G267" s="28"/>
      <c r="H267" s="27"/>
      <c r="I267" s="29"/>
      <c r="J267" s="2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8"/>
      <c r="AR267" s="27"/>
      <c r="AS267" s="29"/>
      <c r="AT267" s="26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8"/>
      <c r="CB267" s="27"/>
      <c r="CC267" s="29"/>
      <c r="CD267" s="26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8"/>
      <c r="DL267" s="27"/>
      <c r="DM267" s="36"/>
      <c r="DN267" s="26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</row>
    <row r="268">
      <c r="A268" s="27"/>
      <c r="B268" s="27"/>
      <c r="C268" s="27"/>
      <c r="D268" s="27"/>
      <c r="E268" s="27"/>
      <c r="F268" s="27"/>
      <c r="G268" s="28"/>
      <c r="H268" s="27"/>
      <c r="I268" s="29"/>
      <c r="J268" s="2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8"/>
      <c r="AR268" s="27"/>
      <c r="AS268" s="29"/>
      <c r="AT268" s="26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8"/>
      <c r="CB268" s="27"/>
      <c r="CC268" s="29"/>
      <c r="CD268" s="26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8"/>
      <c r="DL268" s="27"/>
      <c r="DM268" s="36"/>
      <c r="DN268" s="26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</row>
    <row r="269">
      <c r="A269" s="27"/>
      <c r="B269" s="27"/>
      <c r="C269" s="27"/>
      <c r="D269" s="27"/>
      <c r="E269" s="27"/>
      <c r="F269" s="27"/>
      <c r="G269" s="28"/>
      <c r="H269" s="27"/>
      <c r="I269" s="29"/>
      <c r="J269" s="2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8"/>
      <c r="AR269" s="27"/>
      <c r="AS269" s="29"/>
      <c r="AT269" s="26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8"/>
      <c r="CB269" s="27"/>
      <c r="CC269" s="29"/>
      <c r="CD269" s="26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8"/>
      <c r="DL269" s="27"/>
      <c r="DM269" s="36"/>
      <c r="DN269" s="26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</row>
    <row r="270">
      <c r="A270" s="27"/>
      <c r="B270" s="27"/>
      <c r="C270" s="27"/>
      <c r="D270" s="27"/>
      <c r="E270" s="27"/>
      <c r="F270" s="27"/>
      <c r="G270" s="28"/>
      <c r="H270" s="27"/>
      <c r="I270" s="29"/>
      <c r="J270" s="2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8"/>
      <c r="AR270" s="27"/>
      <c r="AS270" s="29"/>
      <c r="AT270" s="26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8"/>
      <c r="CB270" s="27"/>
      <c r="CC270" s="29"/>
      <c r="CD270" s="26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8"/>
      <c r="DL270" s="27"/>
      <c r="DM270" s="36"/>
      <c r="DN270" s="26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</row>
    <row r="271">
      <c r="A271" s="27"/>
      <c r="B271" s="27"/>
      <c r="C271" s="27"/>
      <c r="D271" s="27"/>
      <c r="E271" s="27"/>
      <c r="F271" s="27"/>
      <c r="G271" s="28"/>
      <c r="H271" s="27"/>
      <c r="I271" s="29"/>
      <c r="J271" s="2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8"/>
      <c r="AR271" s="27"/>
      <c r="AS271" s="29"/>
      <c r="AT271" s="26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8"/>
      <c r="CB271" s="27"/>
      <c r="CC271" s="29"/>
      <c r="CD271" s="26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8"/>
      <c r="DL271" s="27"/>
      <c r="DM271" s="36"/>
      <c r="DN271" s="26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</row>
    <row r="272">
      <c r="A272" s="27"/>
      <c r="B272" s="27"/>
      <c r="C272" s="27"/>
      <c r="D272" s="27"/>
      <c r="E272" s="27"/>
      <c r="F272" s="27"/>
      <c r="G272" s="28"/>
      <c r="H272" s="27"/>
      <c r="I272" s="29"/>
      <c r="J272" s="2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8"/>
      <c r="AR272" s="27"/>
      <c r="AS272" s="29"/>
      <c r="AT272" s="26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8"/>
      <c r="CB272" s="27"/>
      <c r="CC272" s="29"/>
      <c r="CD272" s="26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8"/>
      <c r="DL272" s="27"/>
      <c r="DM272" s="36"/>
      <c r="DN272" s="26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</row>
    <row r="273">
      <c r="A273" s="27"/>
      <c r="B273" s="27"/>
      <c r="C273" s="27"/>
      <c r="D273" s="27"/>
      <c r="E273" s="27"/>
      <c r="F273" s="27"/>
      <c r="G273" s="28"/>
      <c r="H273" s="27"/>
      <c r="I273" s="29"/>
      <c r="J273" s="2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8"/>
      <c r="AR273" s="27"/>
      <c r="AS273" s="29"/>
      <c r="AT273" s="26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8"/>
      <c r="CB273" s="27"/>
      <c r="CC273" s="29"/>
      <c r="CD273" s="26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8"/>
      <c r="DL273" s="27"/>
      <c r="DM273" s="36"/>
      <c r="DN273" s="26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</row>
    <row r="274">
      <c r="A274" s="27"/>
      <c r="B274" s="27"/>
      <c r="C274" s="27"/>
      <c r="D274" s="27"/>
      <c r="E274" s="27"/>
      <c r="F274" s="27"/>
      <c r="G274" s="28"/>
      <c r="H274" s="27"/>
      <c r="I274" s="29"/>
      <c r="J274" s="2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8"/>
      <c r="AR274" s="27"/>
      <c r="AS274" s="29"/>
      <c r="AT274" s="26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8"/>
      <c r="CB274" s="27"/>
      <c r="CC274" s="29"/>
      <c r="CD274" s="26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8"/>
      <c r="DL274" s="27"/>
      <c r="DM274" s="36"/>
      <c r="DN274" s="26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</row>
    <row r="275">
      <c r="A275" s="27"/>
      <c r="B275" s="27"/>
      <c r="C275" s="27"/>
      <c r="D275" s="27"/>
      <c r="E275" s="27"/>
      <c r="F275" s="27"/>
      <c r="G275" s="28"/>
      <c r="H275" s="27"/>
      <c r="I275" s="29"/>
      <c r="J275" s="2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8"/>
      <c r="AR275" s="27"/>
      <c r="AS275" s="29"/>
      <c r="AT275" s="26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8"/>
      <c r="CB275" s="27"/>
      <c r="CC275" s="29"/>
      <c r="CD275" s="26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8"/>
      <c r="DL275" s="27"/>
      <c r="DM275" s="36"/>
      <c r="DN275" s="26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</row>
    <row r="276">
      <c r="A276" s="27"/>
      <c r="B276" s="27"/>
      <c r="C276" s="27"/>
      <c r="D276" s="27"/>
      <c r="E276" s="27"/>
      <c r="F276" s="27"/>
      <c r="G276" s="28"/>
      <c r="H276" s="27"/>
      <c r="I276" s="29"/>
      <c r="J276" s="2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8"/>
      <c r="AR276" s="27"/>
      <c r="AS276" s="29"/>
      <c r="AT276" s="26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8"/>
      <c r="CB276" s="27"/>
      <c r="CC276" s="29"/>
      <c r="CD276" s="26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8"/>
      <c r="DL276" s="27"/>
      <c r="DM276" s="36"/>
      <c r="DN276" s="26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</row>
    <row r="277">
      <c r="A277" s="27"/>
      <c r="B277" s="27"/>
      <c r="C277" s="27"/>
      <c r="D277" s="27"/>
      <c r="E277" s="27"/>
      <c r="F277" s="27"/>
      <c r="G277" s="28"/>
      <c r="H277" s="27"/>
      <c r="I277" s="29"/>
      <c r="J277" s="2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8"/>
      <c r="AR277" s="27"/>
      <c r="AS277" s="29"/>
      <c r="AT277" s="26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8"/>
      <c r="CB277" s="27"/>
      <c r="CC277" s="29"/>
      <c r="CD277" s="26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8"/>
      <c r="DL277" s="27"/>
      <c r="DM277" s="36"/>
      <c r="DN277" s="26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</row>
    <row r="278">
      <c r="A278" s="27"/>
      <c r="B278" s="27"/>
      <c r="C278" s="27"/>
      <c r="D278" s="27"/>
      <c r="E278" s="27"/>
      <c r="F278" s="27"/>
      <c r="G278" s="28"/>
      <c r="H278" s="27"/>
      <c r="I278" s="29"/>
      <c r="J278" s="2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8"/>
      <c r="AR278" s="27"/>
      <c r="AS278" s="29"/>
      <c r="AT278" s="26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8"/>
      <c r="CB278" s="27"/>
      <c r="CC278" s="29"/>
      <c r="CD278" s="26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8"/>
      <c r="DL278" s="27"/>
      <c r="DM278" s="36"/>
      <c r="DN278" s="26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</row>
    <row r="279">
      <c r="A279" s="27"/>
      <c r="B279" s="27"/>
      <c r="C279" s="27"/>
      <c r="D279" s="27"/>
      <c r="E279" s="27"/>
      <c r="F279" s="27"/>
      <c r="G279" s="28"/>
      <c r="H279" s="27"/>
      <c r="I279" s="29"/>
      <c r="J279" s="2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8"/>
      <c r="AR279" s="27"/>
      <c r="AS279" s="29"/>
      <c r="AT279" s="26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8"/>
      <c r="CB279" s="27"/>
      <c r="CC279" s="29"/>
      <c r="CD279" s="26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8"/>
      <c r="DL279" s="27"/>
      <c r="DM279" s="36"/>
      <c r="DN279" s="26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</row>
    <row r="280">
      <c r="A280" s="27"/>
      <c r="B280" s="27"/>
      <c r="C280" s="27"/>
      <c r="D280" s="27"/>
      <c r="E280" s="27"/>
      <c r="F280" s="27"/>
      <c r="G280" s="28"/>
      <c r="H280" s="27"/>
      <c r="I280" s="29"/>
      <c r="J280" s="2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8"/>
      <c r="AR280" s="27"/>
      <c r="AS280" s="29"/>
      <c r="AT280" s="26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8"/>
      <c r="CB280" s="27"/>
      <c r="CC280" s="29"/>
      <c r="CD280" s="26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8"/>
      <c r="DL280" s="27"/>
      <c r="DM280" s="36"/>
      <c r="DN280" s="26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</row>
    <row r="281">
      <c r="A281" s="27"/>
      <c r="B281" s="27"/>
      <c r="C281" s="27"/>
      <c r="D281" s="27"/>
      <c r="E281" s="27"/>
      <c r="F281" s="27"/>
      <c r="G281" s="28"/>
      <c r="H281" s="27"/>
      <c r="I281" s="29"/>
      <c r="J281" s="2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8"/>
      <c r="AR281" s="27"/>
      <c r="AS281" s="29"/>
      <c r="AT281" s="26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8"/>
      <c r="CB281" s="27"/>
      <c r="CC281" s="29"/>
      <c r="CD281" s="26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8"/>
      <c r="DL281" s="27"/>
      <c r="DM281" s="36"/>
      <c r="DN281" s="26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</row>
    <row r="282">
      <c r="A282" s="27"/>
      <c r="B282" s="27"/>
      <c r="C282" s="27"/>
      <c r="D282" s="27"/>
      <c r="E282" s="27"/>
      <c r="F282" s="27"/>
      <c r="G282" s="28"/>
      <c r="H282" s="27"/>
      <c r="I282" s="29"/>
      <c r="J282" s="2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8"/>
      <c r="AR282" s="27"/>
      <c r="AS282" s="29"/>
      <c r="AT282" s="26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8"/>
      <c r="CB282" s="27"/>
      <c r="CC282" s="29"/>
      <c r="CD282" s="26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8"/>
      <c r="DL282" s="27"/>
      <c r="DM282" s="36"/>
      <c r="DN282" s="26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</row>
    <row r="283">
      <c r="A283" s="27"/>
      <c r="B283" s="27"/>
      <c r="C283" s="27"/>
      <c r="D283" s="27"/>
      <c r="E283" s="27"/>
      <c r="F283" s="27"/>
      <c r="G283" s="28"/>
      <c r="H283" s="27"/>
      <c r="I283" s="29"/>
      <c r="J283" s="2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8"/>
      <c r="AR283" s="27"/>
      <c r="AS283" s="29"/>
      <c r="AT283" s="26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8"/>
      <c r="CB283" s="27"/>
      <c r="CC283" s="29"/>
      <c r="CD283" s="26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8"/>
      <c r="DL283" s="27"/>
      <c r="DM283" s="36"/>
      <c r="DN283" s="26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</row>
    <row r="284">
      <c r="A284" s="27"/>
      <c r="B284" s="27"/>
      <c r="C284" s="27"/>
      <c r="D284" s="27"/>
      <c r="E284" s="27"/>
      <c r="F284" s="27"/>
      <c r="G284" s="28"/>
      <c r="H284" s="27"/>
      <c r="I284" s="29"/>
      <c r="J284" s="2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8"/>
      <c r="AR284" s="27"/>
      <c r="AS284" s="29"/>
      <c r="AT284" s="26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8"/>
      <c r="CB284" s="27"/>
      <c r="CC284" s="29"/>
      <c r="CD284" s="26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8"/>
      <c r="DL284" s="27"/>
      <c r="DM284" s="36"/>
      <c r="DN284" s="26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</row>
    <row r="285">
      <c r="A285" s="27"/>
      <c r="B285" s="27"/>
      <c r="C285" s="27"/>
      <c r="D285" s="27"/>
      <c r="E285" s="27"/>
      <c r="F285" s="27"/>
      <c r="G285" s="28"/>
      <c r="H285" s="27"/>
      <c r="I285" s="29"/>
      <c r="J285" s="2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8"/>
      <c r="AR285" s="27"/>
      <c r="AS285" s="29"/>
      <c r="AT285" s="26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8"/>
      <c r="CB285" s="27"/>
      <c r="CC285" s="29"/>
      <c r="CD285" s="26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8"/>
      <c r="DL285" s="27"/>
      <c r="DM285" s="36"/>
      <c r="DN285" s="26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</row>
    <row r="286">
      <c r="A286" s="27"/>
      <c r="B286" s="27"/>
      <c r="C286" s="27"/>
      <c r="D286" s="27"/>
      <c r="E286" s="27"/>
      <c r="F286" s="27"/>
      <c r="G286" s="28"/>
      <c r="H286" s="27"/>
      <c r="I286" s="29"/>
      <c r="J286" s="2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8"/>
      <c r="AR286" s="27"/>
      <c r="AS286" s="29"/>
      <c r="AT286" s="26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8"/>
      <c r="CB286" s="27"/>
      <c r="CC286" s="29"/>
      <c r="CD286" s="26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8"/>
      <c r="DL286" s="27"/>
      <c r="DM286" s="36"/>
      <c r="DN286" s="26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</row>
    <row r="287">
      <c r="A287" s="27"/>
      <c r="B287" s="27"/>
      <c r="C287" s="27"/>
      <c r="D287" s="27"/>
      <c r="E287" s="27"/>
      <c r="F287" s="27"/>
      <c r="G287" s="28"/>
      <c r="H287" s="27"/>
      <c r="I287" s="29"/>
      <c r="J287" s="2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8"/>
      <c r="AR287" s="27"/>
      <c r="AS287" s="29"/>
      <c r="AT287" s="26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8"/>
      <c r="CB287" s="27"/>
      <c r="CC287" s="29"/>
      <c r="CD287" s="26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8"/>
      <c r="DL287" s="27"/>
      <c r="DM287" s="36"/>
      <c r="DN287" s="26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</row>
    <row r="288">
      <c r="A288" s="27"/>
      <c r="B288" s="27"/>
      <c r="C288" s="27"/>
      <c r="D288" s="27"/>
      <c r="E288" s="27"/>
      <c r="F288" s="27"/>
      <c r="G288" s="28"/>
      <c r="H288" s="27"/>
      <c r="I288" s="29"/>
      <c r="J288" s="2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8"/>
      <c r="AR288" s="27"/>
      <c r="AS288" s="29"/>
      <c r="AT288" s="26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8"/>
      <c r="CB288" s="27"/>
      <c r="CC288" s="29"/>
      <c r="CD288" s="26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8"/>
      <c r="DL288" s="27"/>
      <c r="DM288" s="36"/>
      <c r="DN288" s="26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</row>
    <row r="289">
      <c r="A289" s="27"/>
      <c r="B289" s="27"/>
      <c r="C289" s="27"/>
      <c r="D289" s="27"/>
      <c r="E289" s="27"/>
      <c r="F289" s="27"/>
      <c r="G289" s="28"/>
      <c r="H289" s="27"/>
      <c r="I289" s="29"/>
      <c r="J289" s="2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8"/>
      <c r="AR289" s="27"/>
      <c r="AS289" s="29"/>
      <c r="AT289" s="26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8"/>
      <c r="CB289" s="27"/>
      <c r="CC289" s="29"/>
      <c r="CD289" s="26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8"/>
      <c r="DL289" s="27"/>
      <c r="DM289" s="36"/>
      <c r="DN289" s="26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</row>
    <row r="290">
      <c r="A290" s="27"/>
      <c r="B290" s="27"/>
      <c r="C290" s="27"/>
      <c r="D290" s="27"/>
      <c r="E290" s="27"/>
      <c r="F290" s="27"/>
      <c r="G290" s="28"/>
      <c r="H290" s="27"/>
      <c r="I290" s="29"/>
      <c r="J290" s="2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8"/>
      <c r="AR290" s="27"/>
      <c r="AS290" s="29"/>
      <c r="AT290" s="26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8"/>
      <c r="CB290" s="27"/>
      <c r="CC290" s="29"/>
      <c r="CD290" s="26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8"/>
      <c r="DL290" s="27"/>
      <c r="DM290" s="36"/>
      <c r="DN290" s="26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</row>
    <row r="291">
      <c r="A291" s="27"/>
      <c r="B291" s="27"/>
      <c r="C291" s="27"/>
      <c r="D291" s="27"/>
      <c r="E291" s="27"/>
      <c r="F291" s="27"/>
      <c r="G291" s="28"/>
      <c r="H291" s="27"/>
      <c r="I291" s="29"/>
      <c r="J291" s="2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8"/>
      <c r="AR291" s="27"/>
      <c r="AS291" s="29"/>
      <c r="AT291" s="26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8"/>
      <c r="CB291" s="27"/>
      <c r="CC291" s="29"/>
      <c r="CD291" s="26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8"/>
      <c r="DL291" s="27"/>
      <c r="DM291" s="36"/>
      <c r="DN291" s="26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</row>
    <row r="292">
      <c r="A292" s="27"/>
      <c r="B292" s="27"/>
      <c r="C292" s="27"/>
      <c r="D292" s="27"/>
      <c r="E292" s="27"/>
      <c r="F292" s="27"/>
      <c r="G292" s="28"/>
      <c r="H292" s="27"/>
      <c r="I292" s="29"/>
      <c r="J292" s="2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8"/>
      <c r="AR292" s="27"/>
      <c r="AS292" s="29"/>
      <c r="AT292" s="26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8"/>
      <c r="CB292" s="27"/>
      <c r="CC292" s="29"/>
      <c r="CD292" s="26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8"/>
      <c r="DL292" s="27"/>
      <c r="DM292" s="36"/>
      <c r="DN292" s="26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</row>
    <row r="293">
      <c r="A293" s="27"/>
      <c r="B293" s="27"/>
      <c r="C293" s="27"/>
      <c r="D293" s="27"/>
      <c r="E293" s="27"/>
      <c r="F293" s="27"/>
      <c r="G293" s="28"/>
      <c r="H293" s="27"/>
      <c r="I293" s="29"/>
      <c r="J293" s="2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8"/>
      <c r="AR293" s="27"/>
      <c r="AS293" s="29"/>
      <c r="AT293" s="26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8"/>
      <c r="CB293" s="27"/>
      <c r="CC293" s="29"/>
      <c r="CD293" s="26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8"/>
      <c r="DL293" s="27"/>
      <c r="DM293" s="36"/>
      <c r="DN293" s="26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</row>
    <row r="294">
      <c r="A294" s="27"/>
      <c r="B294" s="27"/>
      <c r="C294" s="27"/>
      <c r="D294" s="27"/>
      <c r="E294" s="27"/>
      <c r="F294" s="27"/>
      <c r="G294" s="28"/>
      <c r="H294" s="27"/>
      <c r="I294" s="29"/>
      <c r="J294" s="2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8"/>
      <c r="AR294" s="27"/>
      <c r="AS294" s="29"/>
      <c r="AT294" s="26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8"/>
      <c r="CB294" s="27"/>
      <c r="CC294" s="29"/>
      <c r="CD294" s="26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8"/>
      <c r="DL294" s="27"/>
      <c r="DM294" s="36"/>
      <c r="DN294" s="26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</row>
    <row r="295">
      <c r="A295" s="27"/>
      <c r="B295" s="27"/>
      <c r="C295" s="27"/>
      <c r="D295" s="27"/>
      <c r="E295" s="27"/>
      <c r="F295" s="27"/>
      <c r="G295" s="28"/>
      <c r="H295" s="27"/>
      <c r="I295" s="29"/>
      <c r="J295" s="2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8"/>
      <c r="AR295" s="27"/>
      <c r="AS295" s="29"/>
      <c r="AT295" s="26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8"/>
      <c r="CB295" s="27"/>
      <c r="CC295" s="29"/>
      <c r="CD295" s="26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8"/>
      <c r="DL295" s="27"/>
      <c r="DM295" s="36"/>
      <c r="DN295" s="26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</row>
    <row r="296">
      <c r="A296" s="27"/>
      <c r="B296" s="27"/>
      <c r="C296" s="27"/>
      <c r="D296" s="27"/>
      <c r="E296" s="27"/>
      <c r="F296" s="27"/>
      <c r="G296" s="28"/>
      <c r="H296" s="27"/>
      <c r="I296" s="29"/>
      <c r="J296" s="2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8"/>
      <c r="AR296" s="27"/>
      <c r="AS296" s="29"/>
      <c r="AT296" s="26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8"/>
      <c r="CB296" s="27"/>
      <c r="CC296" s="29"/>
      <c r="CD296" s="26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8"/>
      <c r="DL296" s="27"/>
      <c r="DM296" s="36"/>
      <c r="DN296" s="26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</row>
    <row r="297">
      <c r="A297" s="27"/>
      <c r="B297" s="27"/>
      <c r="C297" s="27"/>
      <c r="D297" s="27"/>
      <c r="E297" s="27"/>
      <c r="F297" s="27"/>
      <c r="G297" s="28"/>
      <c r="H297" s="27"/>
      <c r="I297" s="29"/>
      <c r="J297" s="2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8"/>
      <c r="AR297" s="27"/>
      <c r="AS297" s="29"/>
      <c r="AT297" s="26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8"/>
      <c r="CB297" s="27"/>
      <c r="CC297" s="29"/>
      <c r="CD297" s="26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8"/>
      <c r="DL297" s="27"/>
      <c r="DM297" s="36"/>
      <c r="DN297" s="26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</row>
    <row r="298">
      <c r="A298" s="27"/>
      <c r="B298" s="27"/>
      <c r="C298" s="27"/>
      <c r="D298" s="27"/>
      <c r="E298" s="27"/>
      <c r="F298" s="27"/>
      <c r="G298" s="28"/>
      <c r="H298" s="27"/>
      <c r="I298" s="29"/>
      <c r="J298" s="2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8"/>
      <c r="AR298" s="27"/>
      <c r="AS298" s="29"/>
      <c r="AT298" s="26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8"/>
      <c r="CB298" s="27"/>
      <c r="CC298" s="29"/>
      <c r="CD298" s="26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8"/>
      <c r="DL298" s="27"/>
      <c r="DM298" s="36"/>
      <c r="DN298" s="26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</row>
    <row r="299">
      <c r="A299" s="27"/>
      <c r="B299" s="27"/>
      <c r="C299" s="27"/>
      <c r="D299" s="27"/>
      <c r="E299" s="27"/>
      <c r="F299" s="27"/>
      <c r="G299" s="28"/>
      <c r="H299" s="27"/>
      <c r="I299" s="29"/>
      <c r="J299" s="2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8"/>
      <c r="AR299" s="27"/>
      <c r="AS299" s="29"/>
      <c r="AT299" s="26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8"/>
      <c r="CB299" s="27"/>
      <c r="CC299" s="29"/>
      <c r="CD299" s="26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8"/>
      <c r="DL299" s="27"/>
      <c r="DM299" s="36"/>
      <c r="DN299" s="26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</row>
    <row r="300">
      <c r="A300" s="27"/>
      <c r="B300" s="27"/>
      <c r="C300" s="27"/>
      <c r="D300" s="27"/>
      <c r="E300" s="27"/>
      <c r="F300" s="27"/>
      <c r="G300" s="28"/>
      <c r="H300" s="27"/>
      <c r="I300" s="29"/>
      <c r="J300" s="2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8"/>
      <c r="AR300" s="27"/>
      <c r="AS300" s="29"/>
      <c r="AT300" s="26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8"/>
      <c r="CB300" s="27"/>
      <c r="CC300" s="29"/>
      <c r="CD300" s="26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8"/>
      <c r="DL300" s="27"/>
      <c r="DM300" s="36"/>
      <c r="DN300" s="26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</row>
    <row r="301">
      <c r="A301" s="27"/>
      <c r="B301" s="27"/>
      <c r="C301" s="27"/>
      <c r="D301" s="27"/>
      <c r="E301" s="27"/>
      <c r="F301" s="27"/>
      <c r="G301" s="28"/>
      <c r="H301" s="27"/>
      <c r="I301" s="29"/>
      <c r="J301" s="2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8"/>
      <c r="AR301" s="27"/>
      <c r="AS301" s="29"/>
      <c r="AT301" s="26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8"/>
      <c r="CB301" s="27"/>
      <c r="CC301" s="29"/>
      <c r="CD301" s="26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8"/>
      <c r="DL301" s="27"/>
      <c r="DM301" s="36"/>
      <c r="DN301" s="26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</row>
    <row r="302">
      <c r="A302" s="27"/>
      <c r="B302" s="27"/>
      <c r="C302" s="27"/>
      <c r="D302" s="27"/>
      <c r="E302" s="27"/>
      <c r="F302" s="27"/>
      <c r="G302" s="28"/>
      <c r="H302" s="27"/>
      <c r="I302" s="29"/>
      <c r="J302" s="2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8"/>
      <c r="AR302" s="27"/>
      <c r="AS302" s="29"/>
      <c r="AT302" s="26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8"/>
      <c r="CB302" s="27"/>
      <c r="CC302" s="29"/>
      <c r="CD302" s="26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8"/>
      <c r="DL302" s="27"/>
      <c r="DM302" s="36"/>
      <c r="DN302" s="26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</row>
    <row r="303">
      <c r="A303" s="27"/>
      <c r="B303" s="27"/>
      <c r="C303" s="27"/>
      <c r="D303" s="27"/>
      <c r="E303" s="27"/>
      <c r="F303" s="27"/>
      <c r="G303" s="28"/>
      <c r="H303" s="27"/>
      <c r="I303" s="29"/>
      <c r="J303" s="2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8"/>
      <c r="AR303" s="27"/>
      <c r="AS303" s="29"/>
      <c r="AT303" s="26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8"/>
      <c r="CB303" s="27"/>
      <c r="CC303" s="29"/>
      <c r="CD303" s="26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8"/>
      <c r="DL303" s="27"/>
      <c r="DM303" s="36"/>
      <c r="DN303" s="26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</row>
    <row r="304">
      <c r="A304" s="27"/>
      <c r="B304" s="27"/>
      <c r="C304" s="27"/>
      <c r="D304" s="27"/>
      <c r="E304" s="27"/>
      <c r="F304" s="27"/>
      <c r="G304" s="28"/>
      <c r="H304" s="27"/>
      <c r="I304" s="29"/>
      <c r="J304" s="2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8"/>
      <c r="AR304" s="27"/>
      <c r="AS304" s="29"/>
      <c r="AT304" s="26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8"/>
      <c r="CB304" s="27"/>
      <c r="CC304" s="29"/>
      <c r="CD304" s="26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8"/>
      <c r="DL304" s="27"/>
      <c r="DM304" s="36"/>
      <c r="DN304" s="26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</row>
    <row r="305">
      <c r="A305" s="27"/>
      <c r="B305" s="27"/>
      <c r="C305" s="27"/>
      <c r="D305" s="27"/>
      <c r="E305" s="27"/>
      <c r="F305" s="27"/>
      <c r="G305" s="28"/>
      <c r="H305" s="27"/>
      <c r="I305" s="29"/>
      <c r="J305" s="2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8"/>
      <c r="AR305" s="27"/>
      <c r="AS305" s="29"/>
      <c r="AT305" s="26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8"/>
      <c r="CB305" s="27"/>
      <c r="CC305" s="29"/>
      <c r="CD305" s="26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8"/>
      <c r="DL305" s="27"/>
      <c r="DM305" s="36"/>
      <c r="DN305" s="26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</row>
    <row r="306">
      <c r="A306" s="27"/>
      <c r="B306" s="27"/>
      <c r="C306" s="27"/>
      <c r="D306" s="27"/>
      <c r="E306" s="27"/>
      <c r="F306" s="27"/>
      <c r="G306" s="28"/>
      <c r="H306" s="27"/>
      <c r="I306" s="29"/>
      <c r="J306" s="2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8"/>
      <c r="AR306" s="27"/>
      <c r="AS306" s="29"/>
      <c r="AT306" s="26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8"/>
      <c r="CB306" s="27"/>
      <c r="CC306" s="29"/>
      <c r="CD306" s="26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8"/>
      <c r="DL306" s="27"/>
      <c r="DM306" s="36"/>
      <c r="DN306" s="26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</row>
    <row r="307">
      <c r="A307" s="27"/>
      <c r="B307" s="27"/>
      <c r="C307" s="27"/>
      <c r="D307" s="27"/>
      <c r="E307" s="27"/>
      <c r="F307" s="27"/>
      <c r="G307" s="28"/>
      <c r="H307" s="27"/>
      <c r="I307" s="29"/>
      <c r="J307" s="2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8"/>
      <c r="AR307" s="27"/>
      <c r="AS307" s="29"/>
      <c r="AT307" s="26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8"/>
      <c r="CB307" s="27"/>
      <c r="CC307" s="29"/>
      <c r="CD307" s="26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8"/>
      <c r="DL307" s="27"/>
      <c r="DM307" s="36"/>
      <c r="DN307" s="26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</row>
    <row r="308">
      <c r="A308" s="27"/>
      <c r="B308" s="27"/>
      <c r="C308" s="27"/>
      <c r="D308" s="27"/>
      <c r="E308" s="27"/>
      <c r="F308" s="27"/>
      <c r="G308" s="28"/>
      <c r="H308" s="27"/>
      <c r="I308" s="29"/>
      <c r="J308" s="2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8"/>
      <c r="AR308" s="27"/>
      <c r="AS308" s="29"/>
      <c r="AT308" s="26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8"/>
      <c r="CB308" s="27"/>
      <c r="CC308" s="29"/>
      <c r="CD308" s="26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8"/>
      <c r="DL308" s="27"/>
      <c r="DM308" s="36"/>
      <c r="DN308" s="26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</row>
    <row r="309">
      <c r="A309" s="27"/>
      <c r="B309" s="27"/>
      <c r="C309" s="27"/>
      <c r="D309" s="27"/>
      <c r="E309" s="27"/>
      <c r="F309" s="27"/>
      <c r="G309" s="28"/>
      <c r="H309" s="27"/>
      <c r="I309" s="29"/>
      <c r="J309" s="2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8"/>
      <c r="AR309" s="27"/>
      <c r="AS309" s="29"/>
      <c r="AT309" s="26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8"/>
      <c r="CB309" s="27"/>
      <c r="CC309" s="29"/>
      <c r="CD309" s="26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8"/>
      <c r="DL309" s="27"/>
      <c r="DM309" s="36"/>
      <c r="DN309" s="26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</row>
    <row r="310">
      <c r="A310" s="27"/>
      <c r="B310" s="27"/>
      <c r="C310" s="27"/>
      <c r="D310" s="27"/>
      <c r="E310" s="27"/>
      <c r="F310" s="27"/>
      <c r="G310" s="28"/>
      <c r="H310" s="27"/>
      <c r="I310" s="29"/>
      <c r="J310" s="2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8"/>
      <c r="AR310" s="27"/>
      <c r="AS310" s="29"/>
      <c r="AT310" s="26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8"/>
      <c r="CB310" s="27"/>
      <c r="CC310" s="29"/>
      <c r="CD310" s="26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8"/>
      <c r="DL310" s="27"/>
      <c r="DM310" s="36"/>
      <c r="DN310" s="26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</row>
    <row r="311">
      <c r="A311" s="27"/>
      <c r="B311" s="27"/>
      <c r="C311" s="27"/>
      <c r="D311" s="27"/>
      <c r="E311" s="27"/>
      <c r="F311" s="27"/>
      <c r="G311" s="28"/>
      <c r="H311" s="27"/>
      <c r="I311" s="29"/>
      <c r="J311" s="2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8"/>
      <c r="AR311" s="27"/>
      <c r="AS311" s="29"/>
      <c r="AT311" s="26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8"/>
      <c r="CB311" s="27"/>
      <c r="CC311" s="29"/>
      <c r="CD311" s="26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8"/>
      <c r="DL311" s="27"/>
      <c r="DM311" s="36"/>
      <c r="DN311" s="26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</row>
    <row r="312">
      <c r="A312" s="27"/>
      <c r="B312" s="27"/>
      <c r="C312" s="27"/>
      <c r="D312" s="27"/>
      <c r="E312" s="27"/>
      <c r="F312" s="27"/>
      <c r="G312" s="28"/>
      <c r="H312" s="27"/>
      <c r="I312" s="29"/>
      <c r="J312" s="2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8"/>
      <c r="AR312" s="27"/>
      <c r="AS312" s="29"/>
      <c r="AT312" s="26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8"/>
      <c r="CB312" s="27"/>
      <c r="CC312" s="29"/>
      <c r="CD312" s="26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8"/>
      <c r="DL312" s="27"/>
      <c r="DM312" s="36"/>
      <c r="DN312" s="26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</row>
    <row r="313">
      <c r="A313" s="27"/>
      <c r="B313" s="27"/>
      <c r="C313" s="27"/>
      <c r="D313" s="27"/>
      <c r="E313" s="27"/>
      <c r="F313" s="27"/>
      <c r="G313" s="28"/>
      <c r="H313" s="27"/>
      <c r="I313" s="29"/>
      <c r="J313" s="2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8"/>
      <c r="AR313" s="27"/>
      <c r="AS313" s="29"/>
      <c r="AT313" s="26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8"/>
      <c r="CB313" s="27"/>
      <c r="CC313" s="29"/>
      <c r="CD313" s="26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8"/>
      <c r="DL313" s="27"/>
      <c r="DM313" s="36"/>
      <c r="DN313" s="26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</row>
    <row r="314">
      <c r="A314" s="27"/>
      <c r="B314" s="27"/>
      <c r="C314" s="27"/>
      <c r="D314" s="27"/>
      <c r="E314" s="27"/>
      <c r="F314" s="27"/>
      <c r="G314" s="28"/>
      <c r="H314" s="27"/>
      <c r="I314" s="29"/>
      <c r="J314" s="2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8"/>
      <c r="AR314" s="27"/>
      <c r="AS314" s="29"/>
      <c r="AT314" s="26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8"/>
      <c r="CB314" s="27"/>
      <c r="CC314" s="29"/>
      <c r="CD314" s="26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8"/>
      <c r="DL314" s="27"/>
      <c r="DM314" s="36"/>
      <c r="DN314" s="26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</row>
    <row r="315">
      <c r="A315" s="27"/>
      <c r="B315" s="27"/>
      <c r="C315" s="27"/>
      <c r="D315" s="27"/>
      <c r="E315" s="27"/>
      <c r="F315" s="27"/>
      <c r="G315" s="28"/>
      <c r="H315" s="27"/>
      <c r="I315" s="29"/>
      <c r="J315" s="2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8"/>
      <c r="AR315" s="27"/>
      <c r="AS315" s="29"/>
      <c r="AT315" s="26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8"/>
      <c r="CB315" s="27"/>
      <c r="CC315" s="29"/>
      <c r="CD315" s="26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8"/>
      <c r="DL315" s="27"/>
      <c r="DM315" s="36"/>
      <c r="DN315" s="26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</row>
    <row r="316">
      <c r="A316" s="27"/>
      <c r="B316" s="27"/>
      <c r="C316" s="27"/>
      <c r="D316" s="27"/>
      <c r="E316" s="27"/>
      <c r="F316" s="27"/>
      <c r="G316" s="28"/>
      <c r="H316" s="27"/>
      <c r="I316" s="29"/>
      <c r="J316" s="2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8"/>
      <c r="AR316" s="27"/>
      <c r="AS316" s="29"/>
      <c r="AT316" s="26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8"/>
      <c r="CB316" s="27"/>
      <c r="CC316" s="29"/>
      <c r="CD316" s="26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8"/>
      <c r="DL316" s="27"/>
      <c r="DM316" s="36"/>
      <c r="DN316" s="26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</row>
    <row r="317">
      <c r="A317" s="27"/>
      <c r="B317" s="27"/>
      <c r="C317" s="27"/>
      <c r="D317" s="27"/>
      <c r="E317" s="27"/>
      <c r="F317" s="27"/>
      <c r="G317" s="28"/>
      <c r="H317" s="27"/>
      <c r="I317" s="29"/>
      <c r="J317" s="2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8"/>
      <c r="AR317" s="27"/>
      <c r="AS317" s="29"/>
      <c r="AT317" s="26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8"/>
      <c r="CB317" s="27"/>
      <c r="CC317" s="29"/>
      <c r="CD317" s="26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8"/>
      <c r="DL317" s="27"/>
      <c r="DM317" s="36"/>
      <c r="DN317" s="26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</row>
    <row r="318">
      <c r="A318" s="27"/>
      <c r="B318" s="27"/>
      <c r="C318" s="27"/>
      <c r="D318" s="27"/>
      <c r="E318" s="27"/>
      <c r="F318" s="27"/>
      <c r="G318" s="28"/>
      <c r="H318" s="27"/>
      <c r="I318" s="29"/>
      <c r="J318" s="2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8"/>
      <c r="AR318" s="27"/>
      <c r="AS318" s="29"/>
      <c r="AT318" s="26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8"/>
      <c r="CB318" s="27"/>
      <c r="CC318" s="29"/>
      <c r="CD318" s="26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8"/>
      <c r="DL318" s="27"/>
      <c r="DM318" s="36"/>
      <c r="DN318" s="26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</row>
    <row r="319">
      <c r="A319" s="27"/>
      <c r="B319" s="27"/>
      <c r="C319" s="27"/>
      <c r="D319" s="27"/>
      <c r="E319" s="27"/>
      <c r="F319" s="27"/>
      <c r="G319" s="28"/>
      <c r="H319" s="27"/>
      <c r="I319" s="29"/>
      <c r="J319" s="2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8"/>
      <c r="AR319" s="27"/>
      <c r="AS319" s="29"/>
      <c r="AT319" s="26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8"/>
      <c r="CB319" s="27"/>
      <c r="CC319" s="29"/>
      <c r="CD319" s="26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8"/>
      <c r="DL319" s="27"/>
      <c r="DM319" s="36"/>
      <c r="DN319" s="26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</row>
    <row r="320">
      <c r="A320" s="27"/>
      <c r="B320" s="27"/>
      <c r="C320" s="27"/>
      <c r="D320" s="27"/>
      <c r="E320" s="27"/>
      <c r="F320" s="27"/>
      <c r="G320" s="28"/>
      <c r="H320" s="27"/>
      <c r="I320" s="29"/>
      <c r="J320" s="2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8"/>
      <c r="AR320" s="27"/>
      <c r="AS320" s="29"/>
      <c r="AT320" s="26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8"/>
      <c r="CB320" s="27"/>
      <c r="CC320" s="29"/>
      <c r="CD320" s="26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8"/>
      <c r="DL320" s="27"/>
      <c r="DM320" s="36"/>
      <c r="DN320" s="26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</row>
    <row r="321">
      <c r="A321" s="27"/>
      <c r="B321" s="27"/>
      <c r="C321" s="27"/>
      <c r="D321" s="27"/>
      <c r="E321" s="27"/>
      <c r="F321" s="27"/>
      <c r="G321" s="28"/>
      <c r="H321" s="27"/>
      <c r="I321" s="29"/>
      <c r="J321" s="2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8"/>
      <c r="AR321" s="27"/>
      <c r="AS321" s="29"/>
      <c r="AT321" s="26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8"/>
      <c r="CB321" s="27"/>
      <c r="CC321" s="29"/>
      <c r="CD321" s="26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8"/>
      <c r="DL321" s="27"/>
      <c r="DM321" s="36"/>
      <c r="DN321" s="26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</row>
    <row r="322">
      <c r="A322" s="27"/>
      <c r="B322" s="27"/>
      <c r="C322" s="27"/>
      <c r="D322" s="27"/>
      <c r="E322" s="27"/>
      <c r="F322" s="27"/>
      <c r="G322" s="28"/>
      <c r="H322" s="27"/>
      <c r="I322" s="29"/>
      <c r="J322" s="2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8"/>
      <c r="AR322" s="27"/>
      <c r="AS322" s="29"/>
      <c r="AT322" s="26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8"/>
      <c r="CB322" s="27"/>
      <c r="CC322" s="29"/>
      <c r="CD322" s="26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8"/>
      <c r="DL322" s="27"/>
      <c r="DM322" s="36"/>
      <c r="DN322" s="26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</row>
    <row r="323">
      <c r="A323" s="27"/>
      <c r="B323" s="27"/>
      <c r="C323" s="27"/>
      <c r="D323" s="27"/>
      <c r="E323" s="27"/>
      <c r="F323" s="27"/>
      <c r="G323" s="28"/>
      <c r="H323" s="27"/>
      <c r="I323" s="29"/>
      <c r="J323" s="2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8"/>
      <c r="AR323" s="27"/>
      <c r="AS323" s="29"/>
      <c r="AT323" s="26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8"/>
      <c r="CB323" s="27"/>
      <c r="CC323" s="29"/>
      <c r="CD323" s="26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8"/>
      <c r="DL323" s="27"/>
      <c r="DM323" s="36"/>
      <c r="DN323" s="26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</row>
    <row r="324">
      <c r="A324" s="27"/>
      <c r="B324" s="27"/>
      <c r="C324" s="27"/>
      <c r="D324" s="27"/>
      <c r="E324" s="27"/>
      <c r="F324" s="27"/>
      <c r="G324" s="28"/>
      <c r="H324" s="27"/>
      <c r="I324" s="29"/>
      <c r="J324" s="2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8"/>
      <c r="AR324" s="27"/>
      <c r="AS324" s="29"/>
      <c r="AT324" s="26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8"/>
      <c r="CB324" s="27"/>
      <c r="CC324" s="29"/>
      <c r="CD324" s="26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8"/>
      <c r="DL324" s="27"/>
      <c r="DM324" s="36"/>
      <c r="DN324" s="26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</row>
    <row r="325">
      <c r="A325" s="27"/>
      <c r="B325" s="27"/>
      <c r="C325" s="27"/>
      <c r="D325" s="27"/>
      <c r="E325" s="27"/>
      <c r="F325" s="27"/>
      <c r="G325" s="28"/>
      <c r="H325" s="27"/>
      <c r="I325" s="29"/>
      <c r="J325" s="2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8"/>
      <c r="AR325" s="27"/>
      <c r="AS325" s="29"/>
      <c r="AT325" s="26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8"/>
      <c r="CB325" s="27"/>
      <c r="CC325" s="29"/>
      <c r="CD325" s="26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8"/>
      <c r="DL325" s="27"/>
      <c r="DM325" s="36"/>
      <c r="DN325" s="26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</row>
    <row r="326">
      <c r="A326" s="27"/>
      <c r="B326" s="27"/>
      <c r="C326" s="27"/>
      <c r="D326" s="27"/>
      <c r="E326" s="27"/>
      <c r="F326" s="27"/>
      <c r="G326" s="28"/>
      <c r="H326" s="27"/>
      <c r="I326" s="29"/>
      <c r="J326" s="2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8"/>
      <c r="AR326" s="27"/>
      <c r="AS326" s="29"/>
      <c r="AT326" s="26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8"/>
      <c r="CB326" s="27"/>
      <c r="CC326" s="29"/>
      <c r="CD326" s="26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8"/>
      <c r="DL326" s="27"/>
      <c r="DM326" s="36"/>
      <c r="DN326" s="26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</row>
    <row r="327">
      <c r="A327" s="27"/>
      <c r="B327" s="27"/>
      <c r="C327" s="27"/>
      <c r="D327" s="27"/>
      <c r="E327" s="27"/>
      <c r="F327" s="27"/>
      <c r="G327" s="28"/>
      <c r="H327" s="27"/>
      <c r="I327" s="29"/>
      <c r="J327" s="2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8"/>
      <c r="AR327" s="27"/>
      <c r="AS327" s="29"/>
      <c r="AT327" s="26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8"/>
      <c r="CB327" s="27"/>
      <c r="CC327" s="29"/>
      <c r="CD327" s="26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8"/>
      <c r="DL327" s="27"/>
      <c r="DM327" s="36"/>
      <c r="DN327" s="26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</row>
    <row r="328">
      <c r="A328" s="27"/>
      <c r="B328" s="27"/>
      <c r="C328" s="27"/>
      <c r="D328" s="27"/>
      <c r="E328" s="27"/>
      <c r="F328" s="27"/>
      <c r="G328" s="28"/>
      <c r="H328" s="27"/>
      <c r="I328" s="29"/>
      <c r="J328" s="2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8"/>
      <c r="AR328" s="27"/>
      <c r="AS328" s="29"/>
      <c r="AT328" s="26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8"/>
      <c r="CB328" s="27"/>
      <c r="CC328" s="29"/>
      <c r="CD328" s="26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8"/>
      <c r="DL328" s="27"/>
      <c r="DM328" s="36"/>
      <c r="DN328" s="26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</row>
    <row r="329">
      <c r="A329" s="27"/>
      <c r="B329" s="27"/>
      <c r="C329" s="27"/>
      <c r="D329" s="27"/>
      <c r="E329" s="27"/>
      <c r="F329" s="27"/>
      <c r="G329" s="28"/>
      <c r="H329" s="27"/>
      <c r="I329" s="29"/>
      <c r="J329" s="2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8"/>
      <c r="AR329" s="27"/>
      <c r="AS329" s="29"/>
      <c r="AT329" s="26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8"/>
      <c r="CB329" s="27"/>
      <c r="CC329" s="29"/>
      <c r="CD329" s="26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8"/>
      <c r="DL329" s="27"/>
      <c r="DM329" s="36"/>
      <c r="DN329" s="26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</row>
    <row r="330">
      <c r="A330" s="27"/>
      <c r="B330" s="27"/>
      <c r="C330" s="27"/>
      <c r="D330" s="27"/>
      <c r="E330" s="27"/>
      <c r="F330" s="27"/>
      <c r="G330" s="28"/>
      <c r="H330" s="27"/>
      <c r="I330" s="29"/>
      <c r="J330" s="2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8"/>
      <c r="AR330" s="27"/>
      <c r="AS330" s="29"/>
      <c r="AT330" s="26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8"/>
      <c r="CB330" s="27"/>
      <c r="CC330" s="29"/>
      <c r="CD330" s="26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8"/>
      <c r="DL330" s="27"/>
      <c r="DM330" s="36"/>
      <c r="DN330" s="26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</row>
    <row r="331">
      <c r="A331" s="27"/>
      <c r="B331" s="27"/>
      <c r="C331" s="27"/>
      <c r="D331" s="27"/>
      <c r="E331" s="27"/>
      <c r="F331" s="27"/>
      <c r="G331" s="28"/>
      <c r="H331" s="27"/>
      <c r="I331" s="29"/>
      <c r="J331" s="2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8"/>
      <c r="AR331" s="27"/>
      <c r="AS331" s="29"/>
      <c r="AT331" s="26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8"/>
      <c r="CB331" s="27"/>
      <c r="CC331" s="29"/>
      <c r="CD331" s="26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8"/>
      <c r="DL331" s="27"/>
      <c r="DM331" s="36"/>
      <c r="DN331" s="26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</row>
    <row r="332">
      <c r="A332" s="27"/>
      <c r="B332" s="27"/>
      <c r="C332" s="27"/>
      <c r="D332" s="27"/>
      <c r="E332" s="27"/>
      <c r="F332" s="27"/>
      <c r="G332" s="28"/>
      <c r="H332" s="27"/>
      <c r="I332" s="29"/>
      <c r="J332" s="2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8"/>
      <c r="AR332" s="27"/>
      <c r="AS332" s="29"/>
      <c r="AT332" s="26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8"/>
      <c r="CB332" s="27"/>
      <c r="CC332" s="29"/>
      <c r="CD332" s="26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8"/>
      <c r="DL332" s="27"/>
      <c r="DM332" s="36"/>
      <c r="DN332" s="26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</row>
    <row r="333">
      <c r="A333" s="27"/>
      <c r="B333" s="27"/>
      <c r="C333" s="27"/>
      <c r="D333" s="27"/>
      <c r="E333" s="27"/>
      <c r="F333" s="27"/>
      <c r="G333" s="28"/>
      <c r="H333" s="27"/>
      <c r="I333" s="29"/>
      <c r="J333" s="2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8"/>
      <c r="AR333" s="27"/>
      <c r="AS333" s="29"/>
      <c r="AT333" s="26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8"/>
      <c r="CB333" s="27"/>
      <c r="CC333" s="29"/>
      <c r="CD333" s="26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8"/>
      <c r="DL333" s="27"/>
      <c r="DM333" s="36"/>
      <c r="DN333" s="26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</row>
    <row r="334">
      <c r="A334" s="27"/>
      <c r="B334" s="27"/>
      <c r="C334" s="27"/>
      <c r="D334" s="27"/>
      <c r="E334" s="27"/>
      <c r="F334" s="27"/>
      <c r="G334" s="28"/>
      <c r="H334" s="27"/>
      <c r="I334" s="29"/>
      <c r="J334" s="2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8"/>
      <c r="AR334" s="27"/>
      <c r="AS334" s="29"/>
      <c r="AT334" s="26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8"/>
      <c r="CB334" s="27"/>
      <c r="CC334" s="29"/>
      <c r="CD334" s="26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8"/>
      <c r="DL334" s="27"/>
      <c r="DM334" s="36"/>
      <c r="DN334" s="26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</row>
    <row r="335">
      <c r="A335" s="27"/>
      <c r="B335" s="27"/>
      <c r="C335" s="27"/>
      <c r="D335" s="27"/>
      <c r="E335" s="27"/>
      <c r="F335" s="27"/>
      <c r="G335" s="28"/>
      <c r="H335" s="27"/>
      <c r="I335" s="29"/>
      <c r="J335" s="2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8"/>
      <c r="AR335" s="27"/>
      <c r="AS335" s="29"/>
      <c r="AT335" s="26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8"/>
      <c r="CB335" s="27"/>
      <c r="CC335" s="29"/>
      <c r="CD335" s="26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8"/>
      <c r="DL335" s="27"/>
      <c r="DM335" s="36"/>
      <c r="DN335" s="26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</row>
    <row r="336">
      <c r="A336" s="27"/>
      <c r="B336" s="27"/>
      <c r="C336" s="27"/>
      <c r="D336" s="27"/>
      <c r="E336" s="27"/>
      <c r="F336" s="27"/>
      <c r="G336" s="28"/>
      <c r="H336" s="27"/>
      <c r="I336" s="29"/>
      <c r="J336" s="2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8"/>
      <c r="AR336" s="27"/>
      <c r="AS336" s="29"/>
      <c r="AT336" s="26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8"/>
      <c r="CB336" s="27"/>
      <c r="CC336" s="29"/>
      <c r="CD336" s="26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8"/>
      <c r="DL336" s="27"/>
      <c r="DM336" s="36"/>
      <c r="DN336" s="26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</row>
    <row r="337">
      <c r="A337" s="27"/>
      <c r="B337" s="27"/>
      <c r="C337" s="27"/>
      <c r="D337" s="27"/>
      <c r="E337" s="27"/>
      <c r="F337" s="27"/>
      <c r="G337" s="28"/>
      <c r="H337" s="27"/>
      <c r="I337" s="29"/>
      <c r="J337" s="2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8"/>
      <c r="AR337" s="27"/>
      <c r="AS337" s="29"/>
      <c r="AT337" s="26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8"/>
      <c r="CB337" s="27"/>
      <c r="CC337" s="29"/>
      <c r="CD337" s="26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8"/>
      <c r="DL337" s="27"/>
      <c r="DM337" s="36"/>
      <c r="DN337" s="26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</row>
    <row r="338">
      <c r="A338" s="27"/>
      <c r="B338" s="27"/>
      <c r="C338" s="27"/>
      <c r="D338" s="27"/>
      <c r="E338" s="27"/>
      <c r="F338" s="27"/>
      <c r="G338" s="28"/>
      <c r="H338" s="27"/>
      <c r="I338" s="29"/>
      <c r="J338" s="2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8"/>
      <c r="AR338" s="27"/>
      <c r="AS338" s="29"/>
      <c r="AT338" s="26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8"/>
      <c r="CB338" s="27"/>
      <c r="CC338" s="29"/>
      <c r="CD338" s="26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8"/>
      <c r="DL338" s="27"/>
      <c r="DM338" s="36"/>
      <c r="DN338" s="26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</row>
    <row r="339">
      <c r="A339" s="27"/>
      <c r="B339" s="27"/>
      <c r="C339" s="27"/>
      <c r="D339" s="27"/>
      <c r="E339" s="27"/>
      <c r="F339" s="27"/>
      <c r="G339" s="28"/>
      <c r="H339" s="27"/>
      <c r="I339" s="29"/>
      <c r="J339" s="2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8"/>
      <c r="AR339" s="27"/>
      <c r="AS339" s="29"/>
      <c r="AT339" s="26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8"/>
      <c r="CB339" s="27"/>
      <c r="CC339" s="29"/>
      <c r="CD339" s="26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8"/>
      <c r="DL339" s="27"/>
      <c r="DM339" s="36"/>
      <c r="DN339" s="26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</row>
    <row r="340">
      <c r="A340" s="27"/>
      <c r="B340" s="27"/>
      <c r="C340" s="27"/>
      <c r="D340" s="27"/>
      <c r="E340" s="27"/>
      <c r="F340" s="27"/>
      <c r="G340" s="28"/>
      <c r="H340" s="27"/>
      <c r="I340" s="29"/>
      <c r="J340" s="2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8"/>
      <c r="AR340" s="27"/>
      <c r="AS340" s="29"/>
      <c r="AT340" s="26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8"/>
      <c r="CB340" s="27"/>
      <c r="CC340" s="29"/>
      <c r="CD340" s="26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8"/>
      <c r="DL340" s="27"/>
      <c r="DM340" s="36"/>
      <c r="DN340" s="26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</row>
    <row r="341">
      <c r="A341" s="27"/>
      <c r="B341" s="27"/>
      <c r="C341" s="27"/>
      <c r="D341" s="27"/>
      <c r="E341" s="27"/>
      <c r="F341" s="27"/>
      <c r="G341" s="28"/>
      <c r="H341" s="27"/>
      <c r="I341" s="29"/>
      <c r="J341" s="2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8"/>
      <c r="AR341" s="27"/>
      <c r="AS341" s="29"/>
      <c r="AT341" s="26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8"/>
      <c r="CB341" s="27"/>
      <c r="CC341" s="29"/>
      <c r="CD341" s="26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8"/>
      <c r="DL341" s="27"/>
      <c r="DM341" s="36"/>
      <c r="DN341" s="26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</row>
    <row r="342">
      <c r="A342" s="27"/>
      <c r="B342" s="27"/>
      <c r="C342" s="27"/>
      <c r="D342" s="27"/>
      <c r="E342" s="27"/>
      <c r="F342" s="27"/>
      <c r="G342" s="28"/>
      <c r="H342" s="27"/>
      <c r="I342" s="29"/>
      <c r="J342" s="2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8"/>
      <c r="AR342" s="27"/>
      <c r="AS342" s="29"/>
      <c r="AT342" s="26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8"/>
      <c r="CB342" s="27"/>
      <c r="CC342" s="29"/>
      <c r="CD342" s="26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8"/>
      <c r="DL342" s="27"/>
      <c r="DM342" s="36"/>
      <c r="DN342" s="26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</row>
    <row r="343">
      <c r="A343" s="27"/>
      <c r="B343" s="27"/>
      <c r="C343" s="27"/>
      <c r="D343" s="27"/>
      <c r="E343" s="27"/>
      <c r="F343" s="27"/>
      <c r="G343" s="28"/>
      <c r="H343" s="27"/>
      <c r="I343" s="29"/>
      <c r="J343" s="2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8"/>
      <c r="AR343" s="27"/>
      <c r="AS343" s="29"/>
      <c r="AT343" s="26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8"/>
      <c r="CB343" s="27"/>
      <c r="CC343" s="29"/>
      <c r="CD343" s="26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8"/>
      <c r="DL343" s="27"/>
      <c r="DM343" s="36"/>
      <c r="DN343" s="26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</row>
    <row r="344">
      <c r="A344" s="27"/>
      <c r="B344" s="27"/>
      <c r="C344" s="27"/>
      <c r="D344" s="27"/>
      <c r="E344" s="27"/>
      <c r="F344" s="27"/>
      <c r="G344" s="28"/>
      <c r="H344" s="27"/>
      <c r="I344" s="29"/>
      <c r="J344" s="2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8"/>
      <c r="AR344" s="27"/>
      <c r="AS344" s="29"/>
      <c r="AT344" s="26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8"/>
      <c r="CB344" s="27"/>
      <c r="CC344" s="29"/>
      <c r="CD344" s="26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8"/>
      <c r="DL344" s="27"/>
      <c r="DM344" s="36"/>
      <c r="DN344" s="26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</row>
    <row r="345">
      <c r="A345" s="27"/>
      <c r="B345" s="27"/>
      <c r="C345" s="27"/>
      <c r="D345" s="27"/>
      <c r="E345" s="27"/>
      <c r="F345" s="27"/>
      <c r="G345" s="28"/>
      <c r="H345" s="27"/>
      <c r="I345" s="29"/>
      <c r="J345" s="2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8"/>
      <c r="AR345" s="27"/>
      <c r="AS345" s="29"/>
      <c r="AT345" s="26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8"/>
      <c r="CB345" s="27"/>
      <c r="CC345" s="29"/>
      <c r="CD345" s="26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8"/>
      <c r="DL345" s="27"/>
      <c r="DM345" s="36"/>
      <c r="DN345" s="26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</row>
    <row r="346">
      <c r="A346" s="27"/>
      <c r="B346" s="27"/>
      <c r="C346" s="27"/>
      <c r="D346" s="27"/>
      <c r="E346" s="27"/>
      <c r="F346" s="27"/>
      <c r="G346" s="28"/>
      <c r="H346" s="27"/>
      <c r="I346" s="29"/>
      <c r="J346" s="2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8"/>
      <c r="AR346" s="27"/>
      <c r="AS346" s="29"/>
      <c r="AT346" s="26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8"/>
      <c r="CB346" s="27"/>
      <c r="CC346" s="29"/>
      <c r="CD346" s="26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8"/>
      <c r="DL346" s="27"/>
      <c r="DM346" s="36"/>
      <c r="DN346" s="26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</row>
    <row r="347">
      <c r="A347" s="27"/>
      <c r="B347" s="27"/>
      <c r="C347" s="27"/>
      <c r="D347" s="27"/>
      <c r="E347" s="27"/>
      <c r="F347" s="27"/>
      <c r="G347" s="28"/>
      <c r="H347" s="27"/>
      <c r="I347" s="29"/>
      <c r="J347" s="2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8"/>
      <c r="AR347" s="27"/>
      <c r="AS347" s="29"/>
      <c r="AT347" s="26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8"/>
      <c r="CB347" s="27"/>
      <c r="CC347" s="29"/>
      <c r="CD347" s="26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8"/>
      <c r="DL347" s="27"/>
      <c r="DM347" s="36"/>
      <c r="DN347" s="26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</row>
    <row r="348">
      <c r="A348" s="27"/>
      <c r="B348" s="27"/>
      <c r="C348" s="27"/>
      <c r="D348" s="27"/>
      <c r="E348" s="27"/>
      <c r="F348" s="27"/>
      <c r="G348" s="28"/>
      <c r="H348" s="27"/>
      <c r="I348" s="29"/>
      <c r="J348" s="2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8"/>
      <c r="AR348" s="27"/>
      <c r="AS348" s="29"/>
      <c r="AT348" s="26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8"/>
      <c r="CB348" s="27"/>
      <c r="CC348" s="29"/>
      <c r="CD348" s="26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8"/>
      <c r="DL348" s="27"/>
      <c r="DM348" s="36"/>
      <c r="DN348" s="26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</row>
    <row r="349">
      <c r="A349" s="27"/>
      <c r="B349" s="27"/>
      <c r="C349" s="27"/>
      <c r="D349" s="27"/>
      <c r="E349" s="27"/>
      <c r="F349" s="27"/>
      <c r="G349" s="28"/>
      <c r="H349" s="27"/>
      <c r="I349" s="29"/>
      <c r="J349" s="2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8"/>
      <c r="AR349" s="27"/>
      <c r="AS349" s="29"/>
      <c r="AT349" s="26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8"/>
      <c r="CB349" s="27"/>
      <c r="CC349" s="29"/>
      <c r="CD349" s="26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8"/>
      <c r="DL349" s="27"/>
      <c r="DM349" s="36"/>
      <c r="DN349" s="26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</row>
    <row r="350">
      <c r="A350" s="27"/>
      <c r="B350" s="27"/>
      <c r="C350" s="27"/>
      <c r="D350" s="27"/>
      <c r="E350" s="27"/>
      <c r="F350" s="27"/>
      <c r="G350" s="28"/>
      <c r="H350" s="27"/>
      <c r="I350" s="29"/>
      <c r="J350" s="2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8"/>
      <c r="AR350" s="27"/>
      <c r="AS350" s="29"/>
      <c r="AT350" s="26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8"/>
      <c r="CB350" s="27"/>
      <c r="CC350" s="29"/>
      <c r="CD350" s="26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8"/>
      <c r="DL350" s="27"/>
      <c r="DM350" s="36"/>
      <c r="DN350" s="26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</row>
    <row r="351">
      <c r="A351" s="27"/>
      <c r="B351" s="27"/>
      <c r="C351" s="27"/>
      <c r="D351" s="27"/>
      <c r="E351" s="27"/>
      <c r="F351" s="27"/>
      <c r="G351" s="28"/>
      <c r="H351" s="27"/>
      <c r="I351" s="29"/>
      <c r="J351" s="2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8"/>
      <c r="AR351" s="27"/>
      <c r="AS351" s="29"/>
      <c r="AT351" s="26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8"/>
      <c r="CB351" s="27"/>
      <c r="CC351" s="29"/>
      <c r="CD351" s="26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8"/>
      <c r="DL351" s="27"/>
      <c r="DM351" s="36"/>
      <c r="DN351" s="26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</row>
    <row r="352">
      <c r="A352" s="27"/>
      <c r="B352" s="27"/>
      <c r="C352" s="27"/>
      <c r="D352" s="27"/>
      <c r="E352" s="27"/>
      <c r="F352" s="27"/>
      <c r="G352" s="28"/>
      <c r="H352" s="27"/>
      <c r="I352" s="29"/>
      <c r="J352" s="2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8"/>
      <c r="AR352" s="27"/>
      <c r="AS352" s="29"/>
      <c r="AT352" s="26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8"/>
      <c r="CB352" s="27"/>
      <c r="CC352" s="29"/>
      <c r="CD352" s="26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8"/>
      <c r="DL352" s="27"/>
      <c r="DM352" s="36"/>
      <c r="DN352" s="26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</row>
    <row r="353">
      <c r="A353" s="27"/>
      <c r="B353" s="27"/>
      <c r="C353" s="27"/>
      <c r="D353" s="27"/>
      <c r="E353" s="27"/>
      <c r="F353" s="27"/>
      <c r="G353" s="28"/>
      <c r="H353" s="27"/>
      <c r="I353" s="29"/>
      <c r="J353" s="2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8"/>
      <c r="AR353" s="27"/>
      <c r="AS353" s="29"/>
      <c r="AT353" s="26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8"/>
      <c r="CB353" s="27"/>
      <c r="CC353" s="29"/>
      <c r="CD353" s="26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8"/>
      <c r="DL353" s="27"/>
      <c r="DM353" s="36"/>
      <c r="DN353" s="26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</row>
    <row r="354">
      <c r="A354" s="27"/>
      <c r="B354" s="27"/>
      <c r="C354" s="27"/>
      <c r="D354" s="27"/>
      <c r="E354" s="27"/>
      <c r="F354" s="27"/>
      <c r="G354" s="28"/>
      <c r="H354" s="27"/>
      <c r="I354" s="29"/>
      <c r="J354" s="2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8"/>
      <c r="AR354" s="27"/>
      <c r="AS354" s="29"/>
      <c r="AT354" s="26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8"/>
      <c r="CB354" s="27"/>
      <c r="CC354" s="29"/>
      <c r="CD354" s="26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8"/>
      <c r="DL354" s="27"/>
      <c r="DM354" s="36"/>
      <c r="DN354" s="26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</row>
    <row r="355">
      <c r="A355" s="27"/>
      <c r="B355" s="27"/>
      <c r="C355" s="27"/>
      <c r="D355" s="27"/>
      <c r="E355" s="27"/>
      <c r="F355" s="27"/>
      <c r="G355" s="28"/>
      <c r="H355" s="27"/>
      <c r="I355" s="29"/>
      <c r="J355" s="2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8"/>
      <c r="AR355" s="27"/>
      <c r="AS355" s="29"/>
      <c r="AT355" s="26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8"/>
      <c r="CB355" s="27"/>
      <c r="CC355" s="29"/>
      <c r="CD355" s="26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8"/>
      <c r="DL355" s="27"/>
      <c r="DM355" s="36"/>
      <c r="DN355" s="26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</row>
    <row r="356">
      <c r="A356" s="27"/>
      <c r="B356" s="27"/>
      <c r="C356" s="27"/>
      <c r="D356" s="27"/>
      <c r="E356" s="27"/>
      <c r="F356" s="27"/>
      <c r="G356" s="28"/>
      <c r="H356" s="27"/>
      <c r="I356" s="29"/>
      <c r="J356" s="2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8"/>
      <c r="AR356" s="27"/>
      <c r="AS356" s="29"/>
      <c r="AT356" s="26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8"/>
      <c r="CB356" s="27"/>
      <c r="CC356" s="29"/>
      <c r="CD356" s="26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8"/>
      <c r="DL356" s="27"/>
      <c r="DM356" s="36"/>
      <c r="DN356" s="26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</row>
    <row r="357">
      <c r="A357" s="27"/>
      <c r="B357" s="27"/>
      <c r="C357" s="27"/>
      <c r="D357" s="27"/>
      <c r="E357" s="27"/>
      <c r="F357" s="27"/>
      <c r="G357" s="28"/>
      <c r="H357" s="27"/>
      <c r="I357" s="29"/>
      <c r="J357" s="2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8"/>
      <c r="AR357" s="27"/>
      <c r="AS357" s="29"/>
      <c r="AT357" s="26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8"/>
      <c r="CB357" s="27"/>
      <c r="CC357" s="29"/>
      <c r="CD357" s="26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8"/>
      <c r="DL357" s="27"/>
      <c r="DM357" s="36"/>
      <c r="DN357" s="26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</row>
    <row r="358">
      <c r="A358" s="27"/>
      <c r="B358" s="27"/>
      <c r="C358" s="27"/>
      <c r="D358" s="27"/>
      <c r="E358" s="27"/>
      <c r="F358" s="27"/>
      <c r="G358" s="28"/>
      <c r="H358" s="27"/>
      <c r="I358" s="29"/>
      <c r="J358" s="2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8"/>
      <c r="AR358" s="27"/>
      <c r="AS358" s="29"/>
      <c r="AT358" s="26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8"/>
      <c r="CB358" s="27"/>
      <c r="CC358" s="29"/>
      <c r="CD358" s="26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8"/>
      <c r="DL358" s="27"/>
      <c r="DM358" s="36"/>
      <c r="DN358" s="26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</row>
    <row r="359">
      <c r="A359" s="27"/>
      <c r="B359" s="27"/>
      <c r="C359" s="27"/>
      <c r="D359" s="27"/>
      <c r="E359" s="27"/>
      <c r="F359" s="27"/>
      <c r="G359" s="28"/>
      <c r="H359" s="27"/>
      <c r="I359" s="29"/>
      <c r="J359" s="2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8"/>
      <c r="AR359" s="27"/>
      <c r="AS359" s="29"/>
      <c r="AT359" s="26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8"/>
      <c r="CB359" s="27"/>
      <c r="CC359" s="29"/>
      <c r="CD359" s="26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8"/>
      <c r="DL359" s="27"/>
      <c r="DM359" s="36"/>
      <c r="DN359" s="26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</row>
    <row r="360">
      <c r="A360" s="27"/>
      <c r="B360" s="27"/>
      <c r="C360" s="27"/>
      <c r="D360" s="27"/>
      <c r="E360" s="27"/>
      <c r="F360" s="27"/>
      <c r="G360" s="28"/>
      <c r="H360" s="27"/>
      <c r="I360" s="29"/>
      <c r="J360" s="2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8"/>
      <c r="AR360" s="27"/>
      <c r="AS360" s="29"/>
      <c r="AT360" s="26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8"/>
      <c r="CB360" s="27"/>
      <c r="CC360" s="29"/>
      <c r="CD360" s="26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8"/>
      <c r="DL360" s="27"/>
      <c r="DM360" s="36"/>
      <c r="DN360" s="26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</row>
    <row r="361">
      <c r="A361" s="27"/>
      <c r="B361" s="27"/>
      <c r="C361" s="27"/>
      <c r="D361" s="27"/>
      <c r="E361" s="27"/>
      <c r="F361" s="27"/>
      <c r="G361" s="28"/>
      <c r="H361" s="27"/>
      <c r="I361" s="29"/>
      <c r="J361" s="2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8"/>
      <c r="AR361" s="27"/>
      <c r="AS361" s="29"/>
      <c r="AT361" s="26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8"/>
      <c r="CB361" s="27"/>
      <c r="CC361" s="29"/>
      <c r="CD361" s="26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8"/>
      <c r="DL361" s="27"/>
      <c r="DM361" s="36"/>
      <c r="DN361" s="26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</row>
    <row r="362">
      <c r="A362" s="27"/>
      <c r="B362" s="27"/>
      <c r="C362" s="27"/>
      <c r="D362" s="27"/>
      <c r="E362" s="27"/>
      <c r="F362" s="27"/>
      <c r="G362" s="28"/>
      <c r="H362" s="27"/>
      <c r="I362" s="29"/>
      <c r="J362" s="2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8"/>
      <c r="AR362" s="27"/>
      <c r="AS362" s="29"/>
      <c r="AT362" s="26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8"/>
      <c r="CB362" s="27"/>
      <c r="CC362" s="29"/>
      <c r="CD362" s="26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8"/>
      <c r="DL362" s="27"/>
      <c r="DM362" s="36"/>
      <c r="DN362" s="26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</row>
    <row r="363">
      <c r="A363" s="27"/>
      <c r="B363" s="27"/>
      <c r="C363" s="27"/>
      <c r="D363" s="27"/>
      <c r="E363" s="27"/>
      <c r="F363" s="27"/>
      <c r="G363" s="28"/>
      <c r="H363" s="27"/>
      <c r="I363" s="29"/>
      <c r="J363" s="2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8"/>
      <c r="AR363" s="27"/>
      <c r="AS363" s="29"/>
      <c r="AT363" s="26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8"/>
      <c r="CB363" s="27"/>
      <c r="CC363" s="29"/>
      <c r="CD363" s="26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8"/>
      <c r="DL363" s="27"/>
      <c r="DM363" s="36"/>
      <c r="DN363" s="26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</row>
    <row r="364">
      <c r="A364" s="27"/>
      <c r="B364" s="27"/>
      <c r="C364" s="27"/>
      <c r="D364" s="27"/>
      <c r="E364" s="27"/>
      <c r="F364" s="27"/>
      <c r="G364" s="28"/>
      <c r="H364" s="27"/>
      <c r="I364" s="29"/>
      <c r="J364" s="2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8"/>
      <c r="AR364" s="27"/>
      <c r="AS364" s="29"/>
      <c r="AT364" s="26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8"/>
      <c r="CB364" s="27"/>
      <c r="CC364" s="29"/>
      <c r="CD364" s="26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8"/>
      <c r="DL364" s="27"/>
      <c r="DM364" s="36"/>
      <c r="DN364" s="26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</row>
    <row r="365">
      <c r="A365" s="27"/>
      <c r="B365" s="27"/>
      <c r="C365" s="27"/>
      <c r="D365" s="27"/>
      <c r="E365" s="27"/>
      <c r="F365" s="27"/>
      <c r="G365" s="28"/>
      <c r="H365" s="27"/>
      <c r="I365" s="29"/>
      <c r="J365" s="2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8"/>
      <c r="AR365" s="27"/>
      <c r="AS365" s="29"/>
      <c r="AT365" s="26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8"/>
      <c r="CB365" s="27"/>
      <c r="CC365" s="29"/>
      <c r="CD365" s="26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8"/>
      <c r="DL365" s="27"/>
      <c r="DM365" s="36"/>
      <c r="DN365" s="26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</row>
    <row r="366">
      <c r="A366" s="27"/>
      <c r="B366" s="27"/>
      <c r="C366" s="27"/>
      <c r="D366" s="27"/>
      <c r="E366" s="27"/>
      <c r="F366" s="27"/>
      <c r="G366" s="28"/>
      <c r="H366" s="27"/>
      <c r="I366" s="29"/>
      <c r="J366" s="2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8"/>
      <c r="AR366" s="27"/>
      <c r="AS366" s="29"/>
      <c r="AT366" s="26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8"/>
      <c r="CB366" s="27"/>
      <c r="CC366" s="29"/>
      <c r="CD366" s="26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8"/>
      <c r="DL366" s="27"/>
      <c r="DM366" s="36"/>
      <c r="DN366" s="26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</row>
    <row r="367">
      <c r="A367" s="27"/>
      <c r="B367" s="27"/>
      <c r="C367" s="27"/>
      <c r="D367" s="27"/>
      <c r="E367" s="27"/>
      <c r="F367" s="27"/>
      <c r="G367" s="28"/>
      <c r="H367" s="27"/>
      <c r="I367" s="29"/>
      <c r="J367" s="2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8"/>
      <c r="AR367" s="27"/>
      <c r="AS367" s="29"/>
      <c r="AT367" s="26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8"/>
      <c r="CB367" s="27"/>
      <c r="CC367" s="29"/>
      <c r="CD367" s="26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8"/>
      <c r="DL367" s="27"/>
      <c r="DM367" s="36"/>
      <c r="DN367" s="26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</row>
    <row r="368">
      <c r="A368" s="27"/>
      <c r="B368" s="27"/>
      <c r="C368" s="27"/>
      <c r="D368" s="27"/>
      <c r="E368" s="27"/>
      <c r="F368" s="27"/>
      <c r="G368" s="28"/>
      <c r="H368" s="27"/>
      <c r="I368" s="29"/>
      <c r="J368" s="2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8"/>
      <c r="AR368" s="27"/>
      <c r="AS368" s="29"/>
      <c r="AT368" s="26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8"/>
      <c r="CB368" s="27"/>
      <c r="CC368" s="29"/>
      <c r="CD368" s="26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8"/>
      <c r="DL368" s="27"/>
      <c r="DM368" s="36"/>
      <c r="DN368" s="26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</row>
    <row r="369">
      <c r="A369" s="27"/>
      <c r="B369" s="27"/>
      <c r="C369" s="27"/>
      <c r="D369" s="27"/>
      <c r="E369" s="27"/>
      <c r="F369" s="27"/>
      <c r="G369" s="28"/>
      <c r="H369" s="27"/>
      <c r="I369" s="29"/>
      <c r="J369" s="2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8"/>
      <c r="AR369" s="27"/>
      <c r="AS369" s="29"/>
      <c r="AT369" s="26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8"/>
      <c r="CB369" s="27"/>
      <c r="CC369" s="29"/>
      <c r="CD369" s="26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8"/>
      <c r="DL369" s="27"/>
      <c r="DM369" s="36"/>
      <c r="DN369" s="26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</row>
    <row r="370">
      <c r="A370" s="27"/>
      <c r="B370" s="27"/>
      <c r="C370" s="27"/>
      <c r="D370" s="27"/>
      <c r="E370" s="27"/>
      <c r="F370" s="27"/>
      <c r="G370" s="28"/>
      <c r="H370" s="27"/>
      <c r="I370" s="29"/>
      <c r="J370" s="2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8"/>
      <c r="AR370" s="27"/>
      <c r="AS370" s="29"/>
      <c r="AT370" s="26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8"/>
      <c r="CB370" s="27"/>
      <c r="CC370" s="29"/>
      <c r="CD370" s="26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8"/>
      <c r="DL370" s="27"/>
      <c r="DM370" s="36"/>
      <c r="DN370" s="26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</row>
    <row r="371">
      <c r="A371" s="27"/>
      <c r="B371" s="27"/>
      <c r="C371" s="27"/>
      <c r="D371" s="27"/>
      <c r="E371" s="27"/>
      <c r="F371" s="27"/>
      <c r="G371" s="28"/>
      <c r="H371" s="27"/>
      <c r="I371" s="29"/>
      <c r="J371" s="2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8"/>
      <c r="AR371" s="27"/>
      <c r="AS371" s="29"/>
      <c r="AT371" s="26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8"/>
      <c r="CB371" s="27"/>
      <c r="CC371" s="29"/>
      <c r="CD371" s="26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8"/>
      <c r="DL371" s="27"/>
      <c r="DM371" s="36"/>
      <c r="DN371" s="26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</row>
    <row r="372">
      <c r="A372" s="27"/>
      <c r="B372" s="27"/>
      <c r="C372" s="27"/>
      <c r="D372" s="27"/>
      <c r="E372" s="27"/>
      <c r="F372" s="27"/>
      <c r="G372" s="28"/>
      <c r="H372" s="27"/>
      <c r="I372" s="29"/>
      <c r="J372" s="2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8"/>
      <c r="AR372" s="27"/>
      <c r="AS372" s="29"/>
      <c r="AT372" s="26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8"/>
      <c r="CB372" s="27"/>
      <c r="CC372" s="29"/>
      <c r="CD372" s="26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8"/>
      <c r="DL372" s="27"/>
      <c r="DM372" s="36"/>
      <c r="DN372" s="26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</row>
    <row r="373">
      <c r="A373" s="27"/>
      <c r="B373" s="27"/>
      <c r="C373" s="27"/>
      <c r="D373" s="27"/>
      <c r="E373" s="27"/>
      <c r="F373" s="27"/>
      <c r="G373" s="28"/>
      <c r="H373" s="27"/>
      <c r="I373" s="29"/>
      <c r="J373" s="2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8"/>
      <c r="AR373" s="27"/>
      <c r="AS373" s="29"/>
      <c r="AT373" s="26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8"/>
      <c r="CB373" s="27"/>
      <c r="CC373" s="29"/>
      <c r="CD373" s="26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8"/>
      <c r="DL373" s="27"/>
      <c r="DM373" s="36"/>
      <c r="DN373" s="26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</row>
    <row r="374">
      <c r="A374" s="27"/>
      <c r="B374" s="27"/>
      <c r="C374" s="27"/>
      <c r="D374" s="27"/>
      <c r="E374" s="27"/>
      <c r="F374" s="27"/>
      <c r="G374" s="28"/>
      <c r="H374" s="27"/>
      <c r="I374" s="29"/>
      <c r="J374" s="2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8"/>
      <c r="AR374" s="27"/>
      <c r="AS374" s="29"/>
      <c r="AT374" s="26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8"/>
      <c r="CB374" s="27"/>
      <c r="CC374" s="29"/>
      <c r="CD374" s="26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8"/>
      <c r="DL374" s="27"/>
      <c r="DM374" s="36"/>
      <c r="DN374" s="26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</row>
    <row r="375">
      <c r="A375" s="27"/>
      <c r="B375" s="27"/>
      <c r="C375" s="27"/>
      <c r="D375" s="27"/>
      <c r="E375" s="27"/>
      <c r="F375" s="27"/>
      <c r="G375" s="28"/>
      <c r="H375" s="27"/>
      <c r="I375" s="29"/>
      <c r="J375" s="2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8"/>
      <c r="AR375" s="27"/>
      <c r="AS375" s="29"/>
      <c r="AT375" s="26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8"/>
      <c r="CB375" s="27"/>
      <c r="CC375" s="29"/>
      <c r="CD375" s="26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8"/>
      <c r="DL375" s="27"/>
      <c r="DM375" s="36"/>
      <c r="DN375" s="26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</row>
    <row r="376">
      <c r="A376" s="27"/>
      <c r="B376" s="27"/>
      <c r="C376" s="27"/>
      <c r="D376" s="27"/>
      <c r="E376" s="27"/>
      <c r="F376" s="27"/>
      <c r="G376" s="28"/>
      <c r="H376" s="27"/>
      <c r="I376" s="29"/>
      <c r="J376" s="2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8"/>
      <c r="AR376" s="27"/>
      <c r="AS376" s="29"/>
      <c r="AT376" s="26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8"/>
      <c r="CB376" s="27"/>
      <c r="CC376" s="29"/>
      <c r="CD376" s="26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8"/>
      <c r="DL376" s="27"/>
      <c r="DM376" s="36"/>
      <c r="DN376" s="26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</row>
    <row r="377">
      <c r="A377" s="27"/>
      <c r="B377" s="27"/>
      <c r="C377" s="27"/>
      <c r="D377" s="27"/>
      <c r="E377" s="27"/>
      <c r="F377" s="27"/>
      <c r="G377" s="28"/>
      <c r="H377" s="27"/>
      <c r="I377" s="29"/>
      <c r="J377" s="2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8"/>
      <c r="AR377" s="27"/>
      <c r="AS377" s="29"/>
      <c r="AT377" s="26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8"/>
      <c r="CB377" s="27"/>
      <c r="CC377" s="29"/>
      <c r="CD377" s="26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8"/>
      <c r="DL377" s="27"/>
      <c r="DM377" s="36"/>
      <c r="DN377" s="26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</row>
    <row r="378">
      <c r="A378" s="27"/>
      <c r="B378" s="27"/>
      <c r="C378" s="27"/>
      <c r="D378" s="27"/>
      <c r="E378" s="27"/>
      <c r="F378" s="27"/>
      <c r="G378" s="28"/>
      <c r="H378" s="27"/>
      <c r="I378" s="29"/>
      <c r="J378" s="2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8"/>
      <c r="AR378" s="27"/>
      <c r="AS378" s="29"/>
      <c r="AT378" s="26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8"/>
      <c r="CB378" s="27"/>
      <c r="CC378" s="29"/>
      <c r="CD378" s="26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8"/>
      <c r="DL378" s="27"/>
      <c r="DM378" s="36"/>
      <c r="DN378" s="26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</row>
    <row r="379">
      <c r="A379" s="27"/>
      <c r="B379" s="27"/>
      <c r="C379" s="27"/>
      <c r="D379" s="27"/>
      <c r="E379" s="27"/>
      <c r="F379" s="27"/>
      <c r="G379" s="28"/>
      <c r="H379" s="27"/>
      <c r="I379" s="29"/>
      <c r="J379" s="2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8"/>
      <c r="AR379" s="27"/>
      <c r="AS379" s="29"/>
      <c r="AT379" s="26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8"/>
      <c r="CB379" s="27"/>
      <c r="CC379" s="29"/>
      <c r="CD379" s="26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8"/>
      <c r="DL379" s="27"/>
      <c r="DM379" s="36"/>
      <c r="DN379" s="26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</row>
    <row r="380">
      <c r="A380" s="27"/>
      <c r="B380" s="27"/>
      <c r="C380" s="27"/>
      <c r="D380" s="27"/>
      <c r="E380" s="27"/>
      <c r="F380" s="27"/>
      <c r="G380" s="28"/>
      <c r="H380" s="27"/>
      <c r="I380" s="29"/>
      <c r="J380" s="2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8"/>
      <c r="AR380" s="27"/>
      <c r="AS380" s="29"/>
      <c r="AT380" s="26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8"/>
      <c r="CB380" s="27"/>
      <c r="CC380" s="29"/>
      <c r="CD380" s="26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8"/>
      <c r="DL380" s="27"/>
      <c r="DM380" s="36"/>
      <c r="DN380" s="26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</row>
    <row r="381">
      <c r="A381" s="27"/>
      <c r="B381" s="27"/>
      <c r="C381" s="27"/>
      <c r="D381" s="27"/>
      <c r="E381" s="27"/>
      <c r="F381" s="27"/>
      <c r="G381" s="28"/>
      <c r="H381" s="27"/>
      <c r="I381" s="29"/>
      <c r="J381" s="2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8"/>
      <c r="AR381" s="27"/>
      <c r="AS381" s="29"/>
      <c r="AT381" s="26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8"/>
      <c r="CB381" s="27"/>
      <c r="CC381" s="29"/>
      <c r="CD381" s="26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8"/>
      <c r="DL381" s="27"/>
      <c r="DM381" s="36"/>
      <c r="DN381" s="26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</row>
    <row r="382">
      <c r="A382" s="27"/>
      <c r="B382" s="27"/>
      <c r="C382" s="27"/>
      <c r="D382" s="27"/>
      <c r="E382" s="27"/>
      <c r="F382" s="27"/>
      <c r="G382" s="28"/>
      <c r="H382" s="27"/>
      <c r="I382" s="29"/>
      <c r="J382" s="2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8"/>
      <c r="AR382" s="27"/>
      <c r="AS382" s="29"/>
      <c r="AT382" s="26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8"/>
      <c r="CB382" s="27"/>
      <c r="CC382" s="29"/>
      <c r="CD382" s="26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8"/>
      <c r="DL382" s="27"/>
      <c r="DM382" s="36"/>
      <c r="DN382" s="26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</row>
    <row r="383">
      <c r="A383" s="27"/>
      <c r="B383" s="27"/>
      <c r="C383" s="27"/>
      <c r="D383" s="27"/>
      <c r="E383" s="27"/>
      <c r="F383" s="27"/>
      <c r="G383" s="28"/>
      <c r="H383" s="27"/>
      <c r="I383" s="29"/>
      <c r="J383" s="2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8"/>
      <c r="AR383" s="27"/>
      <c r="AS383" s="29"/>
      <c r="AT383" s="26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8"/>
      <c r="CB383" s="27"/>
      <c r="CC383" s="29"/>
      <c r="CD383" s="26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8"/>
      <c r="DL383" s="27"/>
      <c r="DM383" s="36"/>
      <c r="DN383" s="26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</row>
    <row r="384">
      <c r="A384" s="27"/>
      <c r="B384" s="27"/>
      <c r="C384" s="27"/>
      <c r="D384" s="27"/>
      <c r="E384" s="27"/>
      <c r="F384" s="27"/>
      <c r="G384" s="28"/>
      <c r="H384" s="27"/>
      <c r="I384" s="29"/>
      <c r="J384" s="2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8"/>
      <c r="AR384" s="27"/>
      <c r="AS384" s="29"/>
      <c r="AT384" s="26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8"/>
      <c r="CB384" s="27"/>
      <c r="CC384" s="29"/>
      <c r="CD384" s="26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8"/>
      <c r="DL384" s="27"/>
      <c r="DM384" s="36"/>
      <c r="DN384" s="26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</row>
    <row r="385">
      <c r="A385" s="27"/>
      <c r="B385" s="27"/>
      <c r="C385" s="27"/>
      <c r="D385" s="27"/>
      <c r="E385" s="27"/>
      <c r="F385" s="27"/>
      <c r="G385" s="28"/>
      <c r="H385" s="27"/>
      <c r="I385" s="29"/>
      <c r="J385" s="2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8"/>
      <c r="AR385" s="27"/>
      <c r="AS385" s="29"/>
      <c r="AT385" s="26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8"/>
      <c r="CB385" s="27"/>
      <c r="CC385" s="29"/>
      <c r="CD385" s="26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8"/>
      <c r="DL385" s="27"/>
      <c r="DM385" s="36"/>
      <c r="DN385" s="26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</row>
    <row r="386">
      <c r="A386" s="27"/>
      <c r="B386" s="27"/>
      <c r="C386" s="27"/>
      <c r="D386" s="27"/>
      <c r="E386" s="27"/>
      <c r="F386" s="27"/>
      <c r="G386" s="28"/>
      <c r="H386" s="27"/>
      <c r="I386" s="29"/>
      <c r="J386" s="2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8"/>
      <c r="AR386" s="27"/>
      <c r="AS386" s="29"/>
      <c r="AT386" s="26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8"/>
      <c r="CB386" s="27"/>
      <c r="CC386" s="29"/>
      <c r="CD386" s="26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8"/>
      <c r="DL386" s="27"/>
      <c r="DM386" s="36"/>
      <c r="DN386" s="26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</row>
    <row r="387">
      <c r="A387" s="27"/>
      <c r="B387" s="27"/>
      <c r="C387" s="27"/>
      <c r="D387" s="27"/>
      <c r="E387" s="27"/>
      <c r="F387" s="27"/>
      <c r="G387" s="28"/>
      <c r="H387" s="27"/>
      <c r="I387" s="29"/>
      <c r="J387" s="2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8"/>
      <c r="AR387" s="27"/>
      <c r="AS387" s="29"/>
      <c r="AT387" s="26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8"/>
      <c r="CB387" s="27"/>
      <c r="CC387" s="29"/>
      <c r="CD387" s="26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8"/>
      <c r="DL387" s="27"/>
      <c r="DM387" s="36"/>
      <c r="DN387" s="26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</row>
    <row r="388">
      <c r="A388" s="27"/>
      <c r="B388" s="27"/>
      <c r="C388" s="27"/>
      <c r="D388" s="27"/>
      <c r="E388" s="27"/>
      <c r="F388" s="27"/>
      <c r="G388" s="28"/>
      <c r="H388" s="27"/>
      <c r="I388" s="29"/>
      <c r="J388" s="2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8"/>
      <c r="AR388" s="27"/>
      <c r="AS388" s="29"/>
      <c r="AT388" s="26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8"/>
      <c r="CB388" s="27"/>
      <c r="CC388" s="29"/>
      <c r="CD388" s="26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8"/>
      <c r="DL388" s="27"/>
      <c r="DM388" s="36"/>
      <c r="DN388" s="26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</row>
    <row r="389">
      <c r="A389" s="27"/>
      <c r="B389" s="27"/>
      <c r="C389" s="27"/>
      <c r="D389" s="27"/>
      <c r="E389" s="27"/>
      <c r="F389" s="27"/>
      <c r="G389" s="28"/>
      <c r="H389" s="27"/>
      <c r="I389" s="29"/>
      <c r="J389" s="2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8"/>
      <c r="AR389" s="27"/>
      <c r="AS389" s="29"/>
      <c r="AT389" s="26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8"/>
      <c r="CB389" s="27"/>
      <c r="CC389" s="29"/>
      <c r="CD389" s="26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8"/>
      <c r="DL389" s="27"/>
      <c r="DM389" s="36"/>
      <c r="DN389" s="26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</row>
    <row r="390">
      <c r="A390" s="27"/>
      <c r="B390" s="27"/>
      <c r="C390" s="27"/>
      <c r="D390" s="27"/>
      <c r="E390" s="27"/>
      <c r="F390" s="27"/>
      <c r="G390" s="28"/>
      <c r="H390" s="27"/>
      <c r="I390" s="29"/>
      <c r="J390" s="2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8"/>
      <c r="AR390" s="27"/>
      <c r="AS390" s="29"/>
      <c r="AT390" s="26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8"/>
      <c r="CB390" s="27"/>
      <c r="CC390" s="29"/>
      <c r="CD390" s="26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8"/>
      <c r="DL390" s="27"/>
      <c r="DM390" s="36"/>
      <c r="DN390" s="26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</row>
    <row r="391">
      <c r="A391" s="27"/>
      <c r="B391" s="27"/>
      <c r="C391" s="27"/>
      <c r="D391" s="27"/>
      <c r="E391" s="27"/>
      <c r="F391" s="27"/>
      <c r="G391" s="28"/>
      <c r="H391" s="27"/>
      <c r="I391" s="29"/>
      <c r="J391" s="2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8"/>
      <c r="AR391" s="27"/>
      <c r="AS391" s="29"/>
      <c r="AT391" s="26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8"/>
      <c r="CB391" s="27"/>
      <c r="CC391" s="29"/>
      <c r="CD391" s="26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8"/>
      <c r="DL391" s="27"/>
      <c r="DM391" s="36"/>
      <c r="DN391" s="26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</row>
    <row r="392">
      <c r="A392" s="27"/>
      <c r="B392" s="27"/>
      <c r="C392" s="27"/>
      <c r="D392" s="27"/>
      <c r="E392" s="27"/>
      <c r="F392" s="27"/>
      <c r="G392" s="28"/>
      <c r="H392" s="27"/>
      <c r="I392" s="29"/>
      <c r="J392" s="2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8"/>
      <c r="AR392" s="27"/>
      <c r="AS392" s="29"/>
      <c r="AT392" s="26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8"/>
      <c r="CB392" s="27"/>
      <c r="CC392" s="29"/>
      <c r="CD392" s="26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8"/>
      <c r="DL392" s="27"/>
      <c r="DM392" s="36"/>
      <c r="DN392" s="26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</row>
    <row r="393">
      <c r="A393" s="27"/>
      <c r="B393" s="27"/>
      <c r="C393" s="27"/>
      <c r="D393" s="27"/>
      <c r="E393" s="27"/>
      <c r="F393" s="27"/>
      <c r="G393" s="28"/>
      <c r="H393" s="27"/>
      <c r="I393" s="29"/>
      <c r="J393" s="2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8"/>
      <c r="AR393" s="27"/>
      <c r="AS393" s="29"/>
      <c r="AT393" s="26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8"/>
      <c r="CB393" s="27"/>
      <c r="CC393" s="29"/>
      <c r="CD393" s="26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8"/>
      <c r="DL393" s="27"/>
      <c r="DM393" s="36"/>
      <c r="DN393" s="26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</row>
    <row r="394">
      <c r="A394" s="27"/>
      <c r="B394" s="27"/>
      <c r="C394" s="27"/>
      <c r="D394" s="27"/>
      <c r="E394" s="27"/>
      <c r="F394" s="27"/>
      <c r="G394" s="28"/>
      <c r="H394" s="27"/>
      <c r="I394" s="29"/>
      <c r="J394" s="2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8"/>
      <c r="AR394" s="27"/>
      <c r="AS394" s="29"/>
      <c r="AT394" s="26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8"/>
      <c r="CB394" s="27"/>
      <c r="CC394" s="29"/>
      <c r="CD394" s="26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8"/>
      <c r="DL394" s="27"/>
      <c r="DM394" s="36"/>
      <c r="DN394" s="26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</row>
    <row r="395">
      <c r="A395" s="27"/>
      <c r="B395" s="27"/>
      <c r="C395" s="27"/>
      <c r="D395" s="27"/>
      <c r="E395" s="27"/>
      <c r="F395" s="27"/>
      <c r="G395" s="28"/>
      <c r="H395" s="27"/>
      <c r="I395" s="29"/>
      <c r="J395" s="2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8"/>
      <c r="AR395" s="27"/>
      <c r="AS395" s="29"/>
      <c r="AT395" s="26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8"/>
      <c r="CB395" s="27"/>
      <c r="CC395" s="29"/>
      <c r="CD395" s="26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8"/>
      <c r="DL395" s="27"/>
      <c r="DM395" s="36"/>
      <c r="DN395" s="26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</row>
    <row r="396">
      <c r="A396" s="27"/>
      <c r="B396" s="27"/>
      <c r="C396" s="27"/>
      <c r="D396" s="27"/>
      <c r="E396" s="27"/>
      <c r="F396" s="27"/>
      <c r="G396" s="28"/>
      <c r="H396" s="27"/>
      <c r="I396" s="29"/>
      <c r="J396" s="2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8"/>
      <c r="AR396" s="27"/>
      <c r="AS396" s="29"/>
      <c r="AT396" s="26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8"/>
      <c r="CB396" s="27"/>
      <c r="CC396" s="29"/>
      <c r="CD396" s="26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8"/>
      <c r="DL396" s="27"/>
      <c r="DM396" s="36"/>
      <c r="DN396" s="26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</row>
    <row r="397">
      <c r="A397" s="27"/>
      <c r="B397" s="27"/>
      <c r="C397" s="27"/>
      <c r="D397" s="27"/>
      <c r="E397" s="27"/>
      <c r="F397" s="27"/>
      <c r="G397" s="28"/>
      <c r="H397" s="27"/>
      <c r="I397" s="29"/>
      <c r="J397" s="2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8"/>
      <c r="AR397" s="27"/>
      <c r="AS397" s="29"/>
      <c r="AT397" s="26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8"/>
      <c r="CB397" s="27"/>
      <c r="CC397" s="29"/>
      <c r="CD397" s="26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8"/>
      <c r="DL397" s="27"/>
      <c r="DM397" s="36"/>
      <c r="DN397" s="26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</row>
    <row r="398">
      <c r="A398" s="27"/>
      <c r="B398" s="27"/>
      <c r="C398" s="27"/>
      <c r="D398" s="27"/>
      <c r="E398" s="27"/>
      <c r="F398" s="27"/>
      <c r="G398" s="28"/>
      <c r="H398" s="27"/>
      <c r="I398" s="29"/>
      <c r="J398" s="2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8"/>
      <c r="AR398" s="27"/>
      <c r="AS398" s="29"/>
      <c r="AT398" s="26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8"/>
      <c r="CB398" s="27"/>
      <c r="CC398" s="29"/>
      <c r="CD398" s="26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8"/>
      <c r="DL398" s="27"/>
      <c r="DM398" s="36"/>
      <c r="DN398" s="26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</row>
    <row r="399">
      <c r="A399" s="27"/>
      <c r="B399" s="27"/>
      <c r="C399" s="27"/>
      <c r="D399" s="27"/>
      <c r="E399" s="27"/>
      <c r="F399" s="27"/>
      <c r="G399" s="28"/>
      <c r="H399" s="27"/>
      <c r="I399" s="29"/>
      <c r="J399" s="2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8"/>
      <c r="AR399" s="27"/>
      <c r="AS399" s="29"/>
      <c r="AT399" s="26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8"/>
      <c r="CB399" s="27"/>
      <c r="CC399" s="29"/>
      <c r="CD399" s="26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8"/>
      <c r="DL399" s="27"/>
      <c r="DM399" s="36"/>
      <c r="DN399" s="26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</row>
    <row r="400">
      <c r="A400" s="27"/>
      <c r="B400" s="27"/>
      <c r="C400" s="27"/>
      <c r="D400" s="27"/>
      <c r="E400" s="27"/>
      <c r="F400" s="27"/>
      <c r="G400" s="28"/>
      <c r="H400" s="27"/>
      <c r="I400" s="29"/>
      <c r="J400" s="2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8"/>
      <c r="AR400" s="27"/>
      <c r="AS400" s="29"/>
      <c r="AT400" s="26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8"/>
      <c r="CB400" s="27"/>
      <c r="CC400" s="29"/>
      <c r="CD400" s="26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8"/>
      <c r="DL400" s="27"/>
      <c r="DM400" s="36"/>
      <c r="DN400" s="26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</row>
    <row r="401">
      <c r="A401" s="27"/>
      <c r="B401" s="27"/>
      <c r="C401" s="27"/>
      <c r="D401" s="27"/>
      <c r="E401" s="27"/>
      <c r="F401" s="27"/>
      <c r="G401" s="28"/>
      <c r="H401" s="27"/>
      <c r="I401" s="29"/>
      <c r="J401" s="2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8"/>
      <c r="AR401" s="27"/>
      <c r="AS401" s="29"/>
      <c r="AT401" s="26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8"/>
      <c r="CB401" s="27"/>
      <c r="CC401" s="29"/>
      <c r="CD401" s="26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8"/>
      <c r="DL401" s="27"/>
      <c r="DM401" s="36"/>
      <c r="DN401" s="26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</row>
    <row r="402">
      <c r="A402" s="27"/>
      <c r="B402" s="27"/>
      <c r="C402" s="27"/>
      <c r="D402" s="27"/>
      <c r="E402" s="27"/>
      <c r="F402" s="27"/>
      <c r="G402" s="28"/>
      <c r="H402" s="27"/>
      <c r="I402" s="29"/>
      <c r="J402" s="2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8"/>
      <c r="AR402" s="27"/>
      <c r="AS402" s="29"/>
      <c r="AT402" s="26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8"/>
      <c r="CB402" s="27"/>
      <c r="CC402" s="29"/>
      <c r="CD402" s="26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8"/>
      <c r="DL402" s="27"/>
      <c r="DM402" s="36"/>
      <c r="DN402" s="26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</row>
    <row r="403">
      <c r="A403" s="27"/>
      <c r="B403" s="27"/>
      <c r="C403" s="27"/>
      <c r="D403" s="27"/>
      <c r="E403" s="27"/>
      <c r="F403" s="27"/>
      <c r="G403" s="28"/>
      <c r="H403" s="27"/>
      <c r="I403" s="29"/>
      <c r="J403" s="2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8"/>
      <c r="AR403" s="27"/>
      <c r="AS403" s="29"/>
      <c r="AT403" s="26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8"/>
      <c r="CB403" s="27"/>
      <c r="CC403" s="29"/>
      <c r="CD403" s="26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8"/>
      <c r="DL403" s="27"/>
      <c r="DM403" s="36"/>
      <c r="DN403" s="26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</row>
    <row r="404">
      <c r="A404" s="27"/>
      <c r="B404" s="27"/>
      <c r="C404" s="27"/>
      <c r="D404" s="27"/>
      <c r="E404" s="27"/>
      <c r="F404" s="27"/>
      <c r="G404" s="28"/>
      <c r="H404" s="27"/>
      <c r="I404" s="29"/>
      <c r="J404" s="2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8"/>
      <c r="AR404" s="27"/>
      <c r="AS404" s="29"/>
      <c r="AT404" s="26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8"/>
      <c r="CB404" s="27"/>
      <c r="CC404" s="29"/>
      <c r="CD404" s="26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8"/>
      <c r="DL404" s="27"/>
      <c r="DM404" s="36"/>
      <c r="DN404" s="26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</row>
    <row r="405">
      <c r="A405" s="27"/>
      <c r="B405" s="27"/>
      <c r="C405" s="27"/>
      <c r="D405" s="27"/>
      <c r="E405" s="27"/>
      <c r="F405" s="27"/>
      <c r="G405" s="28"/>
      <c r="H405" s="27"/>
      <c r="I405" s="29"/>
      <c r="J405" s="2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8"/>
      <c r="AR405" s="27"/>
      <c r="AS405" s="29"/>
      <c r="AT405" s="26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8"/>
      <c r="CB405" s="27"/>
      <c r="CC405" s="29"/>
      <c r="CD405" s="26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8"/>
      <c r="DL405" s="27"/>
      <c r="DM405" s="36"/>
      <c r="DN405" s="26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</row>
    <row r="406">
      <c r="A406" s="27"/>
      <c r="B406" s="27"/>
      <c r="C406" s="27"/>
      <c r="D406" s="27"/>
      <c r="E406" s="27"/>
      <c r="F406" s="27"/>
      <c r="G406" s="28"/>
      <c r="H406" s="27"/>
      <c r="I406" s="29"/>
      <c r="J406" s="2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8"/>
      <c r="AR406" s="27"/>
      <c r="AS406" s="29"/>
      <c r="AT406" s="26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8"/>
      <c r="CB406" s="27"/>
      <c r="CC406" s="29"/>
      <c r="CD406" s="26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8"/>
      <c r="DL406" s="27"/>
      <c r="DM406" s="36"/>
      <c r="DN406" s="26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</row>
    <row r="407">
      <c r="A407" s="27"/>
      <c r="B407" s="27"/>
      <c r="C407" s="27"/>
      <c r="D407" s="27"/>
      <c r="E407" s="27"/>
      <c r="F407" s="27"/>
      <c r="G407" s="28"/>
      <c r="H407" s="27"/>
      <c r="I407" s="29"/>
      <c r="J407" s="2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8"/>
      <c r="AR407" s="27"/>
      <c r="AS407" s="29"/>
      <c r="AT407" s="26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8"/>
      <c r="CB407" s="27"/>
      <c r="CC407" s="29"/>
      <c r="CD407" s="26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8"/>
      <c r="DL407" s="27"/>
      <c r="DM407" s="36"/>
      <c r="DN407" s="26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</row>
    <row r="408">
      <c r="A408" s="27"/>
      <c r="B408" s="27"/>
      <c r="C408" s="27"/>
      <c r="D408" s="27"/>
      <c r="E408" s="27"/>
      <c r="F408" s="27"/>
      <c r="G408" s="28"/>
      <c r="H408" s="27"/>
      <c r="I408" s="29"/>
      <c r="J408" s="2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8"/>
      <c r="AR408" s="27"/>
      <c r="AS408" s="29"/>
      <c r="AT408" s="26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8"/>
      <c r="CB408" s="27"/>
      <c r="CC408" s="29"/>
      <c r="CD408" s="26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8"/>
      <c r="DL408" s="27"/>
      <c r="DM408" s="36"/>
      <c r="DN408" s="26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</row>
    <row r="409">
      <c r="A409" s="27"/>
      <c r="B409" s="27"/>
      <c r="C409" s="27"/>
      <c r="D409" s="27"/>
      <c r="E409" s="27"/>
      <c r="F409" s="27"/>
      <c r="G409" s="28"/>
      <c r="H409" s="27"/>
      <c r="I409" s="29"/>
      <c r="J409" s="2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8"/>
      <c r="AR409" s="27"/>
      <c r="AS409" s="29"/>
      <c r="AT409" s="26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8"/>
      <c r="CB409" s="27"/>
      <c r="CC409" s="29"/>
      <c r="CD409" s="26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8"/>
      <c r="DL409" s="27"/>
      <c r="DM409" s="36"/>
      <c r="DN409" s="26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</row>
    <row r="410">
      <c r="A410" s="27"/>
      <c r="B410" s="27"/>
      <c r="C410" s="27"/>
      <c r="D410" s="27"/>
      <c r="E410" s="27"/>
      <c r="F410" s="27"/>
      <c r="G410" s="28"/>
      <c r="H410" s="27"/>
      <c r="I410" s="29"/>
      <c r="J410" s="2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8"/>
      <c r="AR410" s="27"/>
      <c r="AS410" s="29"/>
      <c r="AT410" s="26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8"/>
      <c r="CB410" s="27"/>
      <c r="CC410" s="29"/>
      <c r="CD410" s="26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8"/>
      <c r="DL410" s="27"/>
      <c r="DM410" s="36"/>
      <c r="DN410" s="26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</row>
    <row r="411">
      <c r="A411" s="27"/>
      <c r="B411" s="27"/>
      <c r="C411" s="27"/>
      <c r="D411" s="27"/>
      <c r="E411" s="27"/>
      <c r="F411" s="27"/>
      <c r="G411" s="28"/>
      <c r="H411" s="27"/>
      <c r="I411" s="29"/>
      <c r="J411" s="2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8"/>
      <c r="AR411" s="27"/>
      <c r="AS411" s="29"/>
      <c r="AT411" s="26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8"/>
      <c r="CB411" s="27"/>
      <c r="CC411" s="29"/>
      <c r="CD411" s="26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8"/>
      <c r="DL411" s="27"/>
      <c r="DM411" s="36"/>
      <c r="DN411" s="26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</row>
    <row r="412">
      <c r="A412" s="27"/>
      <c r="B412" s="27"/>
      <c r="C412" s="27"/>
      <c r="D412" s="27"/>
      <c r="E412" s="27"/>
      <c r="F412" s="27"/>
      <c r="G412" s="28"/>
      <c r="H412" s="27"/>
      <c r="I412" s="29"/>
      <c r="J412" s="2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8"/>
      <c r="AR412" s="27"/>
      <c r="AS412" s="29"/>
      <c r="AT412" s="26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8"/>
      <c r="CB412" s="27"/>
      <c r="CC412" s="29"/>
      <c r="CD412" s="26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8"/>
      <c r="DL412" s="27"/>
      <c r="DM412" s="36"/>
      <c r="DN412" s="26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</row>
    <row r="413">
      <c r="A413" s="27"/>
      <c r="B413" s="27"/>
      <c r="C413" s="27"/>
      <c r="D413" s="27"/>
      <c r="E413" s="27"/>
      <c r="F413" s="27"/>
      <c r="G413" s="28"/>
      <c r="H413" s="27"/>
      <c r="I413" s="29"/>
      <c r="J413" s="2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8"/>
      <c r="AR413" s="27"/>
      <c r="AS413" s="29"/>
      <c r="AT413" s="26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8"/>
      <c r="CB413" s="27"/>
      <c r="CC413" s="29"/>
      <c r="CD413" s="26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8"/>
      <c r="DL413" s="27"/>
      <c r="DM413" s="36"/>
      <c r="DN413" s="26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</row>
    <row r="414">
      <c r="A414" s="27"/>
      <c r="B414" s="27"/>
      <c r="C414" s="27"/>
      <c r="D414" s="27"/>
      <c r="E414" s="27"/>
      <c r="F414" s="27"/>
      <c r="G414" s="28"/>
      <c r="H414" s="27"/>
      <c r="I414" s="29"/>
      <c r="J414" s="2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8"/>
      <c r="AR414" s="27"/>
      <c r="AS414" s="29"/>
      <c r="AT414" s="26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8"/>
      <c r="CB414" s="27"/>
      <c r="CC414" s="29"/>
      <c r="CD414" s="26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8"/>
      <c r="DL414" s="27"/>
      <c r="DM414" s="36"/>
      <c r="DN414" s="26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</row>
    <row r="415">
      <c r="A415" s="27"/>
      <c r="B415" s="27"/>
      <c r="C415" s="27"/>
      <c r="D415" s="27"/>
      <c r="E415" s="27"/>
      <c r="F415" s="27"/>
      <c r="G415" s="28"/>
      <c r="H415" s="27"/>
      <c r="I415" s="29"/>
      <c r="J415" s="2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8"/>
      <c r="AR415" s="27"/>
      <c r="AS415" s="29"/>
      <c r="AT415" s="26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8"/>
      <c r="CB415" s="27"/>
      <c r="CC415" s="29"/>
      <c r="CD415" s="26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8"/>
      <c r="DL415" s="27"/>
      <c r="DM415" s="36"/>
      <c r="DN415" s="26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</row>
    <row r="416">
      <c r="A416" s="27"/>
      <c r="B416" s="27"/>
      <c r="C416" s="27"/>
      <c r="D416" s="27"/>
      <c r="E416" s="27"/>
      <c r="F416" s="27"/>
      <c r="G416" s="28"/>
      <c r="H416" s="27"/>
      <c r="I416" s="29"/>
      <c r="J416" s="2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8"/>
      <c r="AR416" s="27"/>
      <c r="AS416" s="29"/>
      <c r="AT416" s="26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8"/>
      <c r="CB416" s="27"/>
      <c r="CC416" s="29"/>
      <c r="CD416" s="26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8"/>
      <c r="DL416" s="27"/>
      <c r="DM416" s="36"/>
      <c r="DN416" s="26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</row>
    <row r="417">
      <c r="A417" s="27"/>
      <c r="B417" s="27"/>
      <c r="C417" s="27"/>
      <c r="D417" s="27"/>
      <c r="E417" s="27"/>
      <c r="F417" s="27"/>
      <c r="G417" s="28"/>
      <c r="H417" s="27"/>
      <c r="I417" s="29"/>
      <c r="J417" s="2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8"/>
      <c r="AR417" s="27"/>
      <c r="AS417" s="29"/>
      <c r="AT417" s="26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8"/>
      <c r="CB417" s="27"/>
      <c r="CC417" s="29"/>
      <c r="CD417" s="26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8"/>
      <c r="DL417" s="27"/>
      <c r="DM417" s="36"/>
      <c r="DN417" s="26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</row>
    <row r="418">
      <c r="A418" s="27"/>
      <c r="B418" s="27"/>
      <c r="C418" s="27"/>
      <c r="D418" s="27"/>
      <c r="E418" s="27"/>
      <c r="F418" s="27"/>
      <c r="G418" s="28"/>
      <c r="H418" s="27"/>
      <c r="I418" s="29"/>
      <c r="J418" s="2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8"/>
      <c r="AR418" s="27"/>
      <c r="AS418" s="29"/>
      <c r="AT418" s="26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8"/>
      <c r="CB418" s="27"/>
      <c r="CC418" s="29"/>
      <c r="CD418" s="26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8"/>
      <c r="DL418" s="27"/>
      <c r="DM418" s="36"/>
      <c r="DN418" s="26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</row>
    <row r="419">
      <c r="A419" s="27"/>
      <c r="B419" s="27"/>
      <c r="C419" s="27"/>
      <c r="D419" s="27"/>
      <c r="E419" s="27"/>
      <c r="F419" s="27"/>
      <c r="G419" s="28"/>
      <c r="H419" s="27"/>
      <c r="I419" s="29"/>
      <c r="J419" s="2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8"/>
      <c r="AR419" s="27"/>
      <c r="AS419" s="29"/>
      <c r="AT419" s="26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8"/>
      <c r="CB419" s="27"/>
      <c r="CC419" s="29"/>
      <c r="CD419" s="26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8"/>
      <c r="DL419" s="27"/>
      <c r="DM419" s="36"/>
      <c r="DN419" s="26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</row>
    <row r="420">
      <c r="A420" s="27"/>
      <c r="B420" s="27"/>
      <c r="C420" s="27"/>
      <c r="D420" s="27"/>
      <c r="E420" s="27"/>
      <c r="F420" s="27"/>
      <c r="G420" s="28"/>
      <c r="H420" s="27"/>
      <c r="I420" s="29"/>
      <c r="J420" s="2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8"/>
      <c r="AR420" s="27"/>
      <c r="AS420" s="29"/>
      <c r="AT420" s="26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8"/>
      <c r="CB420" s="27"/>
      <c r="CC420" s="29"/>
      <c r="CD420" s="26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8"/>
      <c r="DL420" s="27"/>
      <c r="DM420" s="36"/>
      <c r="DN420" s="26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</row>
    <row r="421">
      <c r="A421" s="27"/>
      <c r="B421" s="27"/>
      <c r="C421" s="27"/>
      <c r="D421" s="27"/>
      <c r="E421" s="27"/>
      <c r="F421" s="27"/>
      <c r="G421" s="28"/>
      <c r="H421" s="27"/>
      <c r="I421" s="29"/>
      <c r="J421" s="2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8"/>
      <c r="AR421" s="27"/>
      <c r="AS421" s="29"/>
      <c r="AT421" s="26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8"/>
      <c r="CB421" s="27"/>
      <c r="CC421" s="29"/>
      <c r="CD421" s="26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8"/>
      <c r="DL421" s="27"/>
      <c r="DM421" s="36"/>
      <c r="DN421" s="26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</row>
    <row r="422">
      <c r="A422" s="27"/>
      <c r="B422" s="27"/>
      <c r="C422" s="27"/>
      <c r="D422" s="27"/>
      <c r="E422" s="27"/>
      <c r="F422" s="27"/>
      <c r="G422" s="28"/>
      <c r="H422" s="27"/>
      <c r="I422" s="29"/>
      <c r="J422" s="2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8"/>
      <c r="AR422" s="27"/>
      <c r="AS422" s="29"/>
      <c r="AT422" s="26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8"/>
      <c r="CB422" s="27"/>
      <c r="CC422" s="29"/>
      <c r="CD422" s="26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8"/>
      <c r="DL422" s="27"/>
      <c r="DM422" s="36"/>
      <c r="DN422" s="26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</row>
    <row r="423">
      <c r="A423" s="27"/>
      <c r="B423" s="27"/>
      <c r="C423" s="27"/>
      <c r="D423" s="27"/>
      <c r="E423" s="27"/>
      <c r="F423" s="27"/>
      <c r="G423" s="28"/>
      <c r="H423" s="27"/>
      <c r="I423" s="29"/>
      <c r="J423" s="2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8"/>
      <c r="AR423" s="27"/>
      <c r="AS423" s="29"/>
      <c r="AT423" s="26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8"/>
      <c r="CB423" s="27"/>
      <c r="CC423" s="29"/>
      <c r="CD423" s="26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8"/>
      <c r="DL423" s="27"/>
      <c r="DM423" s="36"/>
      <c r="DN423" s="26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</row>
    <row r="424">
      <c r="A424" s="27"/>
      <c r="B424" s="27"/>
      <c r="C424" s="27"/>
      <c r="D424" s="27"/>
      <c r="E424" s="27"/>
      <c r="F424" s="27"/>
      <c r="G424" s="28"/>
      <c r="H424" s="27"/>
      <c r="I424" s="29"/>
      <c r="J424" s="2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8"/>
      <c r="AR424" s="27"/>
      <c r="AS424" s="29"/>
      <c r="AT424" s="26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8"/>
      <c r="CB424" s="27"/>
      <c r="CC424" s="29"/>
      <c r="CD424" s="26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8"/>
      <c r="DL424" s="27"/>
      <c r="DM424" s="36"/>
      <c r="DN424" s="26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</row>
    <row r="425">
      <c r="A425" s="27"/>
      <c r="B425" s="27"/>
      <c r="C425" s="27"/>
      <c r="D425" s="27"/>
      <c r="E425" s="27"/>
      <c r="F425" s="27"/>
      <c r="G425" s="28"/>
      <c r="H425" s="27"/>
      <c r="I425" s="29"/>
      <c r="J425" s="2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8"/>
      <c r="AR425" s="27"/>
      <c r="AS425" s="29"/>
      <c r="AT425" s="26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8"/>
      <c r="CB425" s="27"/>
      <c r="CC425" s="29"/>
      <c r="CD425" s="26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8"/>
      <c r="DL425" s="27"/>
      <c r="DM425" s="36"/>
      <c r="DN425" s="26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</row>
    <row r="426">
      <c r="A426" s="27"/>
      <c r="B426" s="27"/>
      <c r="C426" s="27"/>
      <c r="D426" s="27"/>
      <c r="E426" s="27"/>
      <c r="F426" s="27"/>
      <c r="G426" s="28"/>
      <c r="H426" s="27"/>
      <c r="I426" s="29"/>
      <c r="J426" s="2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8"/>
      <c r="AR426" s="27"/>
      <c r="AS426" s="29"/>
      <c r="AT426" s="26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8"/>
      <c r="CB426" s="27"/>
      <c r="CC426" s="29"/>
      <c r="CD426" s="26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8"/>
      <c r="DL426" s="27"/>
      <c r="DM426" s="36"/>
      <c r="DN426" s="26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</row>
    <row r="427">
      <c r="A427" s="27"/>
      <c r="B427" s="27"/>
      <c r="C427" s="27"/>
      <c r="D427" s="27"/>
      <c r="E427" s="27"/>
      <c r="F427" s="27"/>
      <c r="G427" s="28"/>
      <c r="H427" s="27"/>
      <c r="I427" s="29"/>
      <c r="J427" s="2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8"/>
      <c r="AR427" s="27"/>
      <c r="AS427" s="29"/>
      <c r="AT427" s="26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8"/>
      <c r="CB427" s="27"/>
      <c r="CC427" s="29"/>
      <c r="CD427" s="26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8"/>
      <c r="DL427" s="27"/>
      <c r="DM427" s="36"/>
      <c r="DN427" s="26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</row>
    <row r="428">
      <c r="A428" s="27"/>
      <c r="B428" s="27"/>
      <c r="C428" s="27"/>
      <c r="D428" s="27"/>
      <c r="E428" s="27"/>
      <c r="F428" s="27"/>
      <c r="G428" s="28"/>
      <c r="H428" s="27"/>
      <c r="I428" s="29"/>
      <c r="J428" s="2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8"/>
      <c r="AR428" s="27"/>
      <c r="AS428" s="29"/>
      <c r="AT428" s="26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8"/>
      <c r="CB428" s="27"/>
      <c r="CC428" s="29"/>
      <c r="CD428" s="26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8"/>
      <c r="DL428" s="27"/>
      <c r="DM428" s="36"/>
      <c r="DN428" s="26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</row>
    <row r="429">
      <c r="A429" s="27"/>
      <c r="B429" s="27"/>
      <c r="C429" s="27"/>
      <c r="D429" s="27"/>
      <c r="E429" s="27"/>
      <c r="F429" s="27"/>
      <c r="G429" s="28"/>
      <c r="H429" s="27"/>
      <c r="I429" s="29"/>
      <c r="J429" s="2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8"/>
      <c r="AR429" s="27"/>
      <c r="AS429" s="29"/>
      <c r="AT429" s="26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8"/>
      <c r="CB429" s="27"/>
      <c r="CC429" s="29"/>
      <c r="CD429" s="26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8"/>
      <c r="DL429" s="27"/>
      <c r="DM429" s="36"/>
      <c r="DN429" s="26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</row>
    <row r="430">
      <c r="A430" s="27"/>
      <c r="B430" s="27"/>
      <c r="C430" s="27"/>
      <c r="D430" s="27"/>
      <c r="E430" s="27"/>
      <c r="F430" s="27"/>
      <c r="G430" s="28"/>
      <c r="H430" s="27"/>
      <c r="I430" s="29"/>
      <c r="J430" s="2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8"/>
      <c r="AR430" s="27"/>
      <c r="AS430" s="29"/>
      <c r="AT430" s="26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8"/>
      <c r="CB430" s="27"/>
      <c r="CC430" s="29"/>
      <c r="CD430" s="26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8"/>
      <c r="DL430" s="27"/>
      <c r="DM430" s="36"/>
      <c r="DN430" s="26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</row>
    <row r="431">
      <c r="A431" s="27"/>
      <c r="B431" s="27"/>
      <c r="C431" s="27"/>
      <c r="D431" s="27"/>
      <c r="E431" s="27"/>
      <c r="F431" s="27"/>
      <c r="G431" s="28"/>
      <c r="H431" s="27"/>
      <c r="I431" s="29"/>
      <c r="J431" s="2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8"/>
      <c r="AR431" s="27"/>
      <c r="AS431" s="29"/>
      <c r="AT431" s="26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8"/>
      <c r="CB431" s="27"/>
      <c r="CC431" s="29"/>
      <c r="CD431" s="26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8"/>
      <c r="DL431" s="27"/>
      <c r="DM431" s="36"/>
      <c r="DN431" s="26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</row>
    <row r="432">
      <c r="A432" s="27"/>
      <c r="B432" s="27"/>
      <c r="C432" s="27"/>
      <c r="D432" s="27"/>
      <c r="E432" s="27"/>
      <c r="F432" s="27"/>
      <c r="G432" s="28"/>
      <c r="H432" s="27"/>
      <c r="I432" s="29"/>
      <c r="J432" s="2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8"/>
      <c r="AR432" s="27"/>
      <c r="AS432" s="29"/>
      <c r="AT432" s="26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8"/>
      <c r="CB432" s="27"/>
      <c r="CC432" s="29"/>
      <c r="CD432" s="26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8"/>
      <c r="DL432" s="27"/>
      <c r="DM432" s="36"/>
      <c r="DN432" s="26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</row>
    <row r="433">
      <c r="A433" s="27"/>
      <c r="B433" s="27"/>
      <c r="C433" s="27"/>
      <c r="D433" s="27"/>
      <c r="E433" s="27"/>
      <c r="F433" s="27"/>
      <c r="G433" s="28"/>
      <c r="H433" s="27"/>
      <c r="I433" s="29"/>
      <c r="J433" s="2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8"/>
      <c r="AR433" s="27"/>
      <c r="AS433" s="29"/>
      <c r="AT433" s="26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8"/>
      <c r="CB433" s="27"/>
      <c r="CC433" s="29"/>
      <c r="CD433" s="26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8"/>
      <c r="DL433" s="27"/>
      <c r="DM433" s="36"/>
      <c r="DN433" s="26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</row>
    <row r="434">
      <c r="A434" s="27"/>
      <c r="B434" s="27"/>
      <c r="C434" s="27"/>
      <c r="D434" s="27"/>
      <c r="E434" s="27"/>
      <c r="F434" s="27"/>
      <c r="G434" s="28"/>
      <c r="H434" s="27"/>
      <c r="I434" s="29"/>
      <c r="J434" s="2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8"/>
      <c r="AR434" s="27"/>
      <c r="AS434" s="29"/>
      <c r="AT434" s="26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8"/>
      <c r="CB434" s="27"/>
      <c r="CC434" s="29"/>
      <c r="CD434" s="26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8"/>
      <c r="DL434" s="27"/>
      <c r="DM434" s="36"/>
      <c r="DN434" s="26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</row>
    <row r="435">
      <c r="A435" s="27"/>
      <c r="B435" s="27"/>
      <c r="C435" s="27"/>
      <c r="D435" s="27"/>
      <c r="E435" s="27"/>
      <c r="F435" s="27"/>
      <c r="G435" s="28"/>
      <c r="H435" s="27"/>
      <c r="I435" s="29"/>
      <c r="J435" s="2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8"/>
      <c r="AR435" s="27"/>
      <c r="AS435" s="29"/>
      <c r="AT435" s="26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8"/>
      <c r="CB435" s="27"/>
      <c r="CC435" s="29"/>
      <c r="CD435" s="26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8"/>
      <c r="DL435" s="27"/>
      <c r="DM435" s="36"/>
      <c r="DN435" s="26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</row>
    <row r="436">
      <c r="A436" s="27"/>
      <c r="B436" s="27"/>
      <c r="C436" s="27"/>
      <c r="D436" s="27"/>
      <c r="E436" s="27"/>
      <c r="F436" s="27"/>
      <c r="G436" s="28"/>
      <c r="H436" s="27"/>
      <c r="I436" s="29"/>
      <c r="J436" s="2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8"/>
      <c r="AR436" s="27"/>
      <c r="AS436" s="29"/>
      <c r="AT436" s="26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8"/>
      <c r="CB436" s="27"/>
      <c r="CC436" s="29"/>
      <c r="CD436" s="26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8"/>
      <c r="DL436" s="27"/>
      <c r="DM436" s="36"/>
      <c r="DN436" s="26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</row>
    <row r="437">
      <c r="A437" s="27"/>
      <c r="B437" s="27"/>
      <c r="C437" s="27"/>
      <c r="D437" s="27"/>
      <c r="E437" s="27"/>
      <c r="F437" s="27"/>
      <c r="G437" s="28"/>
      <c r="H437" s="27"/>
      <c r="I437" s="29"/>
      <c r="J437" s="2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8"/>
      <c r="AR437" s="27"/>
      <c r="AS437" s="29"/>
      <c r="AT437" s="26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8"/>
      <c r="CB437" s="27"/>
      <c r="CC437" s="29"/>
      <c r="CD437" s="26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8"/>
      <c r="DL437" s="27"/>
      <c r="DM437" s="36"/>
      <c r="DN437" s="26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</row>
    <row r="438">
      <c r="A438" s="27"/>
      <c r="B438" s="27"/>
      <c r="C438" s="27"/>
      <c r="D438" s="27"/>
      <c r="E438" s="27"/>
      <c r="F438" s="27"/>
      <c r="G438" s="28"/>
      <c r="H438" s="27"/>
      <c r="I438" s="29"/>
      <c r="J438" s="2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8"/>
      <c r="AR438" s="27"/>
      <c r="AS438" s="29"/>
      <c r="AT438" s="26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8"/>
      <c r="CB438" s="27"/>
      <c r="CC438" s="29"/>
      <c r="CD438" s="26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8"/>
      <c r="DL438" s="27"/>
      <c r="DM438" s="36"/>
      <c r="DN438" s="26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</row>
    <row r="439">
      <c r="A439" s="27"/>
      <c r="B439" s="27"/>
      <c r="C439" s="27"/>
      <c r="D439" s="27"/>
      <c r="E439" s="27"/>
      <c r="F439" s="27"/>
      <c r="G439" s="28"/>
      <c r="H439" s="27"/>
      <c r="I439" s="29"/>
      <c r="J439" s="2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8"/>
      <c r="AR439" s="27"/>
      <c r="AS439" s="29"/>
      <c r="AT439" s="26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8"/>
      <c r="CB439" s="27"/>
      <c r="CC439" s="29"/>
      <c r="CD439" s="26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8"/>
      <c r="DL439" s="27"/>
      <c r="DM439" s="36"/>
      <c r="DN439" s="26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</row>
    <row r="440">
      <c r="A440" s="27"/>
      <c r="B440" s="27"/>
      <c r="C440" s="27"/>
      <c r="D440" s="27"/>
      <c r="E440" s="27"/>
      <c r="F440" s="27"/>
      <c r="G440" s="28"/>
      <c r="H440" s="27"/>
      <c r="I440" s="29"/>
      <c r="J440" s="2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8"/>
      <c r="AR440" s="27"/>
      <c r="AS440" s="29"/>
      <c r="AT440" s="26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8"/>
      <c r="CB440" s="27"/>
      <c r="CC440" s="29"/>
      <c r="CD440" s="26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8"/>
      <c r="DL440" s="27"/>
      <c r="DM440" s="36"/>
      <c r="DN440" s="26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</row>
    <row r="441">
      <c r="A441" s="27"/>
      <c r="B441" s="27"/>
      <c r="C441" s="27"/>
      <c r="D441" s="27"/>
      <c r="E441" s="27"/>
      <c r="F441" s="27"/>
      <c r="G441" s="28"/>
      <c r="H441" s="27"/>
      <c r="I441" s="29"/>
      <c r="J441" s="2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8"/>
      <c r="AR441" s="27"/>
      <c r="AS441" s="29"/>
      <c r="AT441" s="26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8"/>
      <c r="CB441" s="27"/>
      <c r="CC441" s="29"/>
      <c r="CD441" s="26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8"/>
      <c r="DL441" s="27"/>
      <c r="DM441" s="36"/>
      <c r="DN441" s="26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</row>
    <row r="442">
      <c r="A442" s="27"/>
      <c r="B442" s="27"/>
      <c r="C442" s="27"/>
      <c r="D442" s="27"/>
      <c r="E442" s="27"/>
      <c r="F442" s="27"/>
      <c r="G442" s="28"/>
      <c r="H442" s="27"/>
      <c r="I442" s="29"/>
      <c r="J442" s="2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8"/>
      <c r="AR442" s="27"/>
      <c r="AS442" s="29"/>
      <c r="AT442" s="26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8"/>
      <c r="CB442" s="27"/>
      <c r="CC442" s="29"/>
      <c r="CD442" s="26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8"/>
      <c r="DL442" s="27"/>
      <c r="DM442" s="36"/>
      <c r="DN442" s="26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</row>
    <row r="443">
      <c r="A443" s="27"/>
      <c r="B443" s="27"/>
      <c r="C443" s="27"/>
      <c r="D443" s="27"/>
      <c r="E443" s="27"/>
      <c r="F443" s="27"/>
      <c r="G443" s="28"/>
      <c r="H443" s="27"/>
      <c r="I443" s="29"/>
      <c r="J443" s="2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8"/>
      <c r="AR443" s="27"/>
      <c r="AS443" s="29"/>
      <c r="AT443" s="26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8"/>
      <c r="CB443" s="27"/>
      <c r="CC443" s="29"/>
      <c r="CD443" s="26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8"/>
      <c r="DL443" s="27"/>
      <c r="DM443" s="36"/>
      <c r="DN443" s="26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</row>
    <row r="444">
      <c r="A444" s="27"/>
      <c r="B444" s="27"/>
      <c r="C444" s="27"/>
      <c r="D444" s="27"/>
      <c r="E444" s="27"/>
      <c r="F444" s="27"/>
      <c r="G444" s="28"/>
      <c r="H444" s="27"/>
      <c r="I444" s="29"/>
      <c r="J444" s="2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8"/>
      <c r="AR444" s="27"/>
      <c r="AS444" s="29"/>
      <c r="AT444" s="26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8"/>
      <c r="CB444" s="27"/>
      <c r="CC444" s="29"/>
      <c r="CD444" s="26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8"/>
      <c r="DL444" s="27"/>
      <c r="DM444" s="36"/>
      <c r="DN444" s="26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</row>
    <row r="445">
      <c r="A445" s="27"/>
      <c r="B445" s="27"/>
      <c r="C445" s="27"/>
      <c r="D445" s="27"/>
      <c r="E445" s="27"/>
      <c r="F445" s="27"/>
      <c r="G445" s="28"/>
      <c r="H445" s="27"/>
      <c r="I445" s="29"/>
      <c r="J445" s="2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8"/>
      <c r="AR445" s="27"/>
      <c r="AS445" s="29"/>
      <c r="AT445" s="26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8"/>
      <c r="CB445" s="27"/>
      <c r="CC445" s="29"/>
      <c r="CD445" s="26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8"/>
      <c r="DL445" s="27"/>
      <c r="DM445" s="36"/>
      <c r="DN445" s="26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</row>
    <row r="446">
      <c r="A446" s="27"/>
      <c r="B446" s="27"/>
      <c r="C446" s="27"/>
      <c r="D446" s="27"/>
      <c r="E446" s="27"/>
      <c r="F446" s="27"/>
      <c r="G446" s="28"/>
      <c r="H446" s="27"/>
      <c r="I446" s="29"/>
      <c r="J446" s="2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8"/>
      <c r="AR446" s="27"/>
      <c r="AS446" s="29"/>
      <c r="AT446" s="26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8"/>
      <c r="CB446" s="27"/>
      <c r="CC446" s="29"/>
      <c r="CD446" s="26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8"/>
      <c r="DL446" s="27"/>
      <c r="DM446" s="36"/>
      <c r="DN446" s="26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</row>
    <row r="447">
      <c r="A447" s="27"/>
      <c r="B447" s="27"/>
      <c r="C447" s="27"/>
      <c r="D447" s="27"/>
      <c r="E447" s="27"/>
      <c r="F447" s="27"/>
      <c r="G447" s="28"/>
      <c r="H447" s="27"/>
      <c r="I447" s="29"/>
      <c r="J447" s="2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8"/>
      <c r="AR447" s="27"/>
      <c r="AS447" s="29"/>
      <c r="AT447" s="26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8"/>
      <c r="CB447" s="27"/>
      <c r="CC447" s="29"/>
      <c r="CD447" s="26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8"/>
      <c r="DL447" s="27"/>
      <c r="DM447" s="36"/>
      <c r="DN447" s="26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</row>
    <row r="448">
      <c r="A448" s="27"/>
      <c r="B448" s="27"/>
      <c r="C448" s="27"/>
      <c r="D448" s="27"/>
      <c r="E448" s="27"/>
      <c r="F448" s="27"/>
      <c r="G448" s="28"/>
      <c r="H448" s="27"/>
      <c r="I448" s="29"/>
      <c r="J448" s="2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8"/>
      <c r="AR448" s="27"/>
      <c r="AS448" s="29"/>
      <c r="AT448" s="26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8"/>
      <c r="CB448" s="27"/>
      <c r="CC448" s="29"/>
      <c r="CD448" s="26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8"/>
      <c r="DL448" s="27"/>
      <c r="DM448" s="36"/>
      <c r="DN448" s="26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</row>
    <row r="449">
      <c r="A449" s="27"/>
      <c r="B449" s="27"/>
      <c r="C449" s="27"/>
      <c r="D449" s="27"/>
      <c r="E449" s="27"/>
      <c r="F449" s="27"/>
      <c r="G449" s="28"/>
      <c r="H449" s="27"/>
      <c r="I449" s="29"/>
      <c r="J449" s="2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8"/>
      <c r="AR449" s="27"/>
      <c r="AS449" s="29"/>
      <c r="AT449" s="26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8"/>
      <c r="CB449" s="27"/>
      <c r="CC449" s="29"/>
      <c r="CD449" s="26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8"/>
      <c r="DL449" s="27"/>
      <c r="DM449" s="36"/>
      <c r="DN449" s="26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</row>
    <row r="450">
      <c r="A450" s="27"/>
      <c r="B450" s="27"/>
      <c r="C450" s="27"/>
      <c r="D450" s="27"/>
      <c r="E450" s="27"/>
      <c r="F450" s="27"/>
      <c r="G450" s="28"/>
      <c r="H450" s="27"/>
      <c r="I450" s="29"/>
      <c r="J450" s="2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8"/>
      <c r="AR450" s="27"/>
      <c r="AS450" s="29"/>
      <c r="AT450" s="26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8"/>
      <c r="CB450" s="27"/>
      <c r="CC450" s="29"/>
      <c r="CD450" s="26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8"/>
      <c r="DL450" s="27"/>
      <c r="DM450" s="36"/>
      <c r="DN450" s="26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</row>
    <row r="451">
      <c r="A451" s="27"/>
      <c r="B451" s="27"/>
      <c r="C451" s="27"/>
      <c r="D451" s="27"/>
      <c r="E451" s="27"/>
      <c r="F451" s="27"/>
      <c r="G451" s="28"/>
      <c r="H451" s="27"/>
      <c r="I451" s="29"/>
      <c r="J451" s="2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8"/>
      <c r="AR451" s="27"/>
      <c r="AS451" s="29"/>
      <c r="AT451" s="26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8"/>
      <c r="CB451" s="27"/>
      <c r="CC451" s="29"/>
      <c r="CD451" s="26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8"/>
      <c r="DL451" s="27"/>
      <c r="DM451" s="36"/>
      <c r="DN451" s="26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</row>
    <row r="452">
      <c r="A452" s="27"/>
      <c r="B452" s="27"/>
      <c r="C452" s="27"/>
      <c r="D452" s="27"/>
      <c r="E452" s="27"/>
      <c r="F452" s="27"/>
      <c r="G452" s="28"/>
      <c r="H452" s="27"/>
      <c r="I452" s="29"/>
      <c r="J452" s="2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8"/>
      <c r="AR452" s="27"/>
      <c r="AS452" s="29"/>
      <c r="AT452" s="26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8"/>
      <c r="CB452" s="27"/>
      <c r="CC452" s="29"/>
      <c r="CD452" s="26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8"/>
      <c r="DL452" s="27"/>
      <c r="DM452" s="36"/>
      <c r="DN452" s="26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</row>
    <row r="453">
      <c r="A453" s="27"/>
      <c r="B453" s="27"/>
      <c r="C453" s="27"/>
      <c r="D453" s="27"/>
      <c r="E453" s="27"/>
      <c r="F453" s="27"/>
      <c r="G453" s="28"/>
      <c r="H453" s="27"/>
      <c r="I453" s="29"/>
      <c r="J453" s="2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8"/>
      <c r="AR453" s="27"/>
      <c r="AS453" s="29"/>
      <c r="AT453" s="26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8"/>
      <c r="CB453" s="27"/>
      <c r="CC453" s="29"/>
      <c r="CD453" s="26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8"/>
      <c r="DL453" s="27"/>
      <c r="DM453" s="36"/>
      <c r="DN453" s="26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</row>
    <row r="454">
      <c r="A454" s="27"/>
      <c r="B454" s="27"/>
      <c r="C454" s="27"/>
      <c r="D454" s="27"/>
      <c r="E454" s="27"/>
      <c r="F454" s="27"/>
      <c r="G454" s="28"/>
      <c r="H454" s="27"/>
      <c r="I454" s="29"/>
      <c r="J454" s="2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8"/>
      <c r="AR454" s="27"/>
      <c r="AS454" s="29"/>
      <c r="AT454" s="26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8"/>
      <c r="CB454" s="27"/>
      <c r="CC454" s="29"/>
      <c r="CD454" s="26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8"/>
      <c r="DL454" s="27"/>
      <c r="DM454" s="36"/>
      <c r="DN454" s="26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</row>
    <row r="455">
      <c r="A455" s="27"/>
      <c r="B455" s="27"/>
      <c r="C455" s="27"/>
      <c r="D455" s="27"/>
      <c r="E455" s="27"/>
      <c r="F455" s="27"/>
      <c r="G455" s="28"/>
      <c r="H455" s="27"/>
      <c r="I455" s="29"/>
      <c r="J455" s="2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8"/>
      <c r="AR455" s="27"/>
      <c r="AS455" s="29"/>
      <c r="AT455" s="26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8"/>
      <c r="CB455" s="27"/>
      <c r="CC455" s="29"/>
      <c r="CD455" s="26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8"/>
      <c r="DL455" s="27"/>
      <c r="DM455" s="36"/>
      <c r="DN455" s="26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</row>
    <row r="456">
      <c r="A456" s="27"/>
      <c r="B456" s="27"/>
      <c r="C456" s="27"/>
      <c r="D456" s="27"/>
      <c r="E456" s="27"/>
      <c r="F456" s="27"/>
      <c r="G456" s="28"/>
      <c r="H456" s="27"/>
      <c r="I456" s="29"/>
      <c r="J456" s="2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8"/>
      <c r="AR456" s="27"/>
      <c r="AS456" s="29"/>
      <c r="AT456" s="26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8"/>
      <c r="CB456" s="27"/>
      <c r="CC456" s="29"/>
      <c r="CD456" s="26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8"/>
      <c r="DL456" s="27"/>
      <c r="DM456" s="36"/>
      <c r="DN456" s="26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</row>
    <row r="457">
      <c r="A457" s="27"/>
      <c r="B457" s="27"/>
      <c r="C457" s="27"/>
      <c r="D457" s="27"/>
      <c r="E457" s="27"/>
      <c r="F457" s="27"/>
      <c r="G457" s="28"/>
      <c r="H457" s="27"/>
      <c r="I457" s="29"/>
      <c r="J457" s="2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8"/>
      <c r="AR457" s="27"/>
      <c r="AS457" s="29"/>
      <c r="AT457" s="26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8"/>
      <c r="CB457" s="27"/>
      <c r="CC457" s="29"/>
      <c r="CD457" s="26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8"/>
      <c r="DL457" s="27"/>
      <c r="DM457" s="36"/>
      <c r="DN457" s="26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</row>
    <row r="458">
      <c r="A458" s="27"/>
      <c r="B458" s="27"/>
      <c r="C458" s="27"/>
      <c r="D458" s="27"/>
      <c r="E458" s="27"/>
      <c r="F458" s="27"/>
      <c r="G458" s="28"/>
      <c r="H458" s="27"/>
      <c r="I458" s="29"/>
      <c r="J458" s="2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8"/>
      <c r="AR458" s="27"/>
      <c r="AS458" s="29"/>
      <c r="AT458" s="26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8"/>
      <c r="CB458" s="27"/>
      <c r="CC458" s="29"/>
      <c r="CD458" s="26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8"/>
      <c r="DL458" s="27"/>
      <c r="DM458" s="36"/>
      <c r="DN458" s="26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</row>
    <row r="459">
      <c r="A459" s="27"/>
      <c r="B459" s="27"/>
      <c r="C459" s="27"/>
      <c r="D459" s="27"/>
      <c r="E459" s="27"/>
      <c r="F459" s="27"/>
      <c r="G459" s="28"/>
      <c r="H459" s="27"/>
      <c r="I459" s="29"/>
      <c r="J459" s="2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8"/>
      <c r="AR459" s="27"/>
      <c r="AS459" s="29"/>
      <c r="AT459" s="26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8"/>
      <c r="CB459" s="27"/>
      <c r="CC459" s="29"/>
      <c r="CD459" s="26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8"/>
      <c r="DL459" s="27"/>
      <c r="DM459" s="36"/>
      <c r="DN459" s="26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</row>
    <row r="460">
      <c r="A460" s="27"/>
      <c r="B460" s="27"/>
      <c r="C460" s="27"/>
      <c r="D460" s="27"/>
      <c r="E460" s="27"/>
      <c r="F460" s="27"/>
      <c r="G460" s="28"/>
      <c r="H460" s="27"/>
      <c r="I460" s="29"/>
      <c r="J460" s="2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8"/>
      <c r="AR460" s="27"/>
      <c r="AS460" s="29"/>
      <c r="AT460" s="26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8"/>
      <c r="CB460" s="27"/>
      <c r="CC460" s="29"/>
      <c r="CD460" s="26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8"/>
      <c r="DL460" s="27"/>
      <c r="DM460" s="36"/>
      <c r="DN460" s="26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</row>
    <row r="461">
      <c r="A461" s="27"/>
      <c r="B461" s="27"/>
      <c r="C461" s="27"/>
      <c r="D461" s="27"/>
      <c r="E461" s="27"/>
      <c r="F461" s="27"/>
      <c r="G461" s="28"/>
      <c r="H461" s="27"/>
      <c r="I461" s="29"/>
      <c r="J461" s="2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8"/>
      <c r="AR461" s="27"/>
      <c r="AS461" s="29"/>
      <c r="AT461" s="26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8"/>
      <c r="CB461" s="27"/>
      <c r="CC461" s="29"/>
      <c r="CD461" s="26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8"/>
      <c r="DL461" s="27"/>
      <c r="DM461" s="36"/>
      <c r="DN461" s="26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</row>
    <row r="462">
      <c r="A462" s="27"/>
      <c r="B462" s="27"/>
      <c r="C462" s="27"/>
      <c r="D462" s="27"/>
      <c r="E462" s="27"/>
      <c r="F462" s="27"/>
      <c r="G462" s="28"/>
      <c r="H462" s="27"/>
      <c r="I462" s="29"/>
      <c r="J462" s="2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8"/>
      <c r="AR462" s="27"/>
      <c r="AS462" s="29"/>
      <c r="AT462" s="26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8"/>
      <c r="CB462" s="27"/>
      <c r="CC462" s="29"/>
      <c r="CD462" s="26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8"/>
      <c r="DL462" s="27"/>
      <c r="DM462" s="36"/>
      <c r="DN462" s="26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</row>
    <row r="463">
      <c r="A463" s="27"/>
      <c r="B463" s="27"/>
      <c r="C463" s="27"/>
      <c r="D463" s="27"/>
      <c r="E463" s="27"/>
      <c r="F463" s="27"/>
      <c r="G463" s="28"/>
      <c r="H463" s="27"/>
      <c r="I463" s="29"/>
      <c r="J463" s="2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8"/>
      <c r="AR463" s="27"/>
      <c r="AS463" s="29"/>
      <c r="AT463" s="26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8"/>
      <c r="CB463" s="27"/>
      <c r="CC463" s="29"/>
      <c r="CD463" s="26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8"/>
      <c r="DL463" s="27"/>
      <c r="DM463" s="36"/>
      <c r="DN463" s="26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</row>
    <row r="464">
      <c r="A464" s="27"/>
      <c r="B464" s="27"/>
      <c r="C464" s="27"/>
      <c r="D464" s="27"/>
      <c r="E464" s="27"/>
      <c r="F464" s="27"/>
      <c r="G464" s="28"/>
      <c r="H464" s="27"/>
      <c r="I464" s="29"/>
      <c r="J464" s="2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8"/>
      <c r="AR464" s="27"/>
      <c r="AS464" s="29"/>
      <c r="AT464" s="26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8"/>
      <c r="CB464" s="27"/>
      <c r="CC464" s="29"/>
      <c r="CD464" s="26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8"/>
      <c r="DL464" s="27"/>
      <c r="DM464" s="36"/>
      <c r="DN464" s="26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</row>
    <row r="465">
      <c r="A465" s="27"/>
      <c r="B465" s="27"/>
      <c r="C465" s="27"/>
      <c r="D465" s="27"/>
      <c r="E465" s="27"/>
      <c r="F465" s="27"/>
      <c r="G465" s="28"/>
      <c r="H465" s="27"/>
      <c r="I465" s="29"/>
      <c r="J465" s="2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8"/>
      <c r="AR465" s="27"/>
      <c r="AS465" s="29"/>
      <c r="AT465" s="26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8"/>
      <c r="CB465" s="27"/>
      <c r="CC465" s="29"/>
      <c r="CD465" s="26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8"/>
      <c r="DL465" s="27"/>
      <c r="DM465" s="36"/>
      <c r="DN465" s="26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</row>
    <row r="466">
      <c r="A466" s="27"/>
      <c r="B466" s="27"/>
      <c r="C466" s="27"/>
      <c r="D466" s="27"/>
      <c r="E466" s="27"/>
      <c r="F466" s="27"/>
      <c r="G466" s="28"/>
      <c r="H466" s="27"/>
      <c r="I466" s="29"/>
      <c r="J466" s="2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8"/>
      <c r="AR466" s="27"/>
      <c r="AS466" s="29"/>
      <c r="AT466" s="26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8"/>
      <c r="CB466" s="27"/>
      <c r="CC466" s="29"/>
      <c r="CD466" s="26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8"/>
      <c r="DL466" s="27"/>
      <c r="DM466" s="36"/>
      <c r="DN466" s="26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</row>
    <row r="467">
      <c r="A467" s="27"/>
      <c r="B467" s="27"/>
      <c r="C467" s="27"/>
      <c r="D467" s="27"/>
      <c r="E467" s="27"/>
      <c r="F467" s="27"/>
      <c r="G467" s="28"/>
      <c r="H467" s="27"/>
      <c r="I467" s="29"/>
      <c r="J467" s="2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8"/>
      <c r="AR467" s="27"/>
      <c r="AS467" s="29"/>
      <c r="AT467" s="26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8"/>
      <c r="CB467" s="27"/>
      <c r="CC467" s="29"/>
      <c r="CD467" s="26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8"/>
      <c r="DL467" s="27"/>
      <c r="DM467" s="36"/>
      <c r="DN467" s="26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</row>
    <row r="468">
      <c r="A468" s="27"/>
      <c r="B468" s="27"/>
      <c r="C468" s="27"/>
      <c r="D468" s="27"/>
      <c r="E468" s="27"/>
      <c r="F468" s="27"/>
      <c r="G468" s="28"/>
      <c r="H468" s="27"/>
      <c r="I468" s="29"/>
      <c r="J468" s="2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8"/>
      <c r="AR468" s="27"/>
      <c r="AS468" s="29"/>
      <c r="AT468" s="26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8"/>
      <c r="CB468" s="27"/>
      <c r="CC468" s="29"/>
      <c r="CD468" s="26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8"/>
      <c r="DL468" s="27"/>
      <c r="DM468" s="36"/>
      <c r="DN468" s="26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</row>
    <row r="469">
      <c r="A469" s="27"/>
      <c r="B469" s="27"/>
      <c r="C469" s="27"/>
      <c r="D469" s="27"/>
      <c r="E469" s="27"/>
      <c r="F469" s="27"/>
      <c r="G469" s="28"/>
      <c r="H469" s="27"/>
      <c r="I469" s="29"/>
      <c r="J469" s="2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8"/>
      <c r="AR469" s="27"/>
      <c r="AS469" s="29"/>
      <c r="AT469" s="26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8"/>
      <c r="CB469" s="27"/>
      <c r="CC469" s="29"/>
      <c r="CD469" s="26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8"/>
      <c r="DL469" s="27"/>
      <c r="DM469" s="36"/>
      <c r="DN469" s="26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</row>
    <row r="470">
      <c r="A470" s="27"/>
      <c r="B470" s="27"/>
      <c r="C470" s="27"/>
      <c r="D470" s="27"/>
      <c r="E470" s="27"/>
      <c r="F470" s="27"/>
      <c r="G470" s="28"/>
      <c r="H470" s="27"/>
      <c r="I470" s="29"/>
      <c r="J470" s="2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8"/>
      <c r="AR470" s="27"/>
      <c r="AS470" s="29"/>
      <c r="AT470" s="26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8"/>
      <c r="CB470" s="27"/>
      <c r="CC470" s="29"/>
      <c r="CD470" s="26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8"/>
      <c r="DL470" s="27"/>
      <c r="DM470" s="36"/>
      <c r="DN470" s="26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</row>
    <row r="471">
      <c r="A471" s="27"/>
      <c r="B471" s="27"/>
      <c r="C471" s="27"/>
      <c r="D471" s="27"/>
      <c r="E471" s="27"/>
      <c r="F471" s="27"/>
      <c r="G471" s="28"/>
      <c r="H471" s="27"/>
      <c r="I471" s="29"/>
      <c r="J471" s="2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8"/>
      <c r="AR471" s="27"/>
      <c r="AS471" s="29"/>
      <c r="AT471" s="26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8"/>
      <c r="CB471" s="27"/>
      <c r="CC471" s="29"/>
      <c r="CD471" s="26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8"/>
      <c r="DL471" s="27"/>
      <c r="DM471" s="36"/>
      <c r="DN471" s="26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</row>
    <row r="472">
      <c r="A472" s="27"/>
      <c r="B472" s="27"/>
      <c r="C472" s="27"/>
      <c r="D472" s="27"/>
      <c r="E472" s="27"/>
      <c r="F472" s="27"/>
      <c r="G472" s="28"/>
      <c r="H472" s="27"/>
      <c r="I472" s="29"/>
      <c r="J472" s="2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8"/>
      <c r="AR472" s="27"/>
      <c r="AS472" s="29"/>
      <c r="AT472" s="26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8"/>
      <c r="CB472" s="27"/>
      <c r="CC472" s="29"/>
      <c r="CD472" s="26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8"/>
      <c r="DL472" s="27"/>
      <c r="DM472" s="36"/>
      <c r="DN472" s="26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</row>
    <row r="473">
      <c r="A473" s="27"/>
      <c r="B473" s="27"/>
      <c r="C473" s="27"/>
      <c r="D473" s="27"/>
      <c r="E473" s="27"/>
      <c r="F473" s="27"/>
      <c r="G473" s="28"/>
      <c r="H473" s="27"/>
      <c r="I473" s="29"/>
      <c r="J473" s="2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8"/>
      <c r="AR473" s="27"/>
      <c r="AS473" s="29"/>
      <c r="AT473" s="26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8"/>
      <c r="CB473" s="27"/>
      <c r="CC473" s="29"/>
      <c r="CD473" s="26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8"/>
      <c r="DL473" s="27"/>
      <c r="DM473" s="36"/>
      <c r="DN473" s="26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</row>
    <row r="474">
      <c r="A474" s="27"/>
      <c r="B474" s="27"/>
      <c r="C474" s="27"/>
      <c r="D474" s="27"/>
      <c r="E474" s="27"/>
      <c r="F474" s="27"/>
      <c r="G474" s="28"/>
      <c r="H474" s="27"/>
      <c r="I474" s="29"/>
      <c r="J474" s="2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8"/>
      <c r="AR474" s="27"/>
      <c r="AS474" s="29"/>
      <c r="AT474" s="26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8"/>
      <c r="CB474" s="27"/>
      <c r="CC474" s="29"/>
      <c r="CD474" s="26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8"/>
      <c r="DL474" s="27"/>
      <c r="DM474" s="36"/>
      <c r="DN474" s="26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</row>
    <row r="475">
      <c r="A475" s="27"/>
      <c r="B475" s="27"/>
      <c r="C475" s="27"/>
      <c r="D475" s="27"/>
      <c r="E475" s="27"/>
      <c r="F475" s="27"/>
      <c r="G475" s="28"/>
      <c r="H475" s="27"/>
      <c r="I475" s="29"/>
      <c r="J475" s="2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8"/>
      <c r="AR475" s="27"/>
      <c r="AS475" s="29"/>
      <c r="AT475" s="26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8"/>
      <c r="CB475" s="27"/>
      <c r="CC475" s="29"/>
      <c r="CD475" s="26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8"/>
      <c r="DL475" s="27"/>
      <c r="DM475" s="36"/>
      <c r="DN475" s="26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</row>
    <row r="476">
      <c r="A476" s="27"/>
      <c r="B476" s="27"/>
      <c r="C476" s="27"/>
      <c r="D476" s="27"/>
      <c r="E476" s="27"/>
      <c r="F476" s="27"/>
      <c r="G476" s="28"/>
      <c r="H476" s="27"/>
      <c r="I476" s="29"/>
      <c r="J476" s="2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8"/>
      <c r="AR476" s="27"/>
      <c r="AS476" s="29"/>
      <c r="AT476" s="26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8"/>
      <c r="CB476" s="27"/>
      <c r="CC476" s="29"/>
      <c r="CD476" s="26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8"/>
      <c r="DL476" s="27"/>
      <c r="DM476" s="36"/>
      <c r="DN476" s="26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</row>
    <row r="477">
      <c r="A477" s="27"/>
      <c r="B477" s="27"/>
      <c r="C477" s="27"/>
      <c r="D477" s="27"/>
      <c r="E477" s="27"/>
      <c r="F477" s="27"/>
      <c r="G477" s="28"/>
      <c r="H477" s="27"/>
      <c r="I477" s="29"/>
      <c r="J477" s="2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8"/>
      <c r="AR477" s="27"/>
      <c r="AS477" s="29"/>
      <c r="AT477" s="26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8"/>
      <c r="CB477" s="27"/>
      <c r="CC477" s="29"/>
      <c r="CD477" s="26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8"/>
      <c r="DL477" s="27"/>
      <c r="DM477" s="36"/>
      <c r="DN477" s="26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</row>
    <row r="478">
      <c r="A478" s="27"/>
      <c r="B478" s="27"/>
      <c r="C478" s="27"/>
      <c r="D478" s="27"/>
      <c r="E478" s="27"/>
      <c r="F478" s="27"/>
      <c r="G478" s="28"/>
      <c r="H478" s="27"/>
      <c r="I478" s="29"/>
      <c r="J478" s="2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8"/>
      <c r="AR478" s="27"/>
      <c r="AS478" s="29"/>
      <c r="AT478" s="26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8"/>
      <c r="CB478" s="27"/>
      <c r="CC478" s="29"/>
      <c r="CD478" s="26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8"/>
      <c r="DL478" s="27"/>
      <c r="DM478" s="36"/>
      <c r="DN478" s="26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</row>
    <row r="479">
      <c r="A479" s="27"/>
      <c r="B479" s="27"/>
      <c r="C479" s="27"/>
      <c r="D479" s="27"/>
      <c r="E479" s="27"/>
      <c r="F479" s="27"/>
      <c r="G479" s="28"/>
      <c r="H479" s="27"/>
      <c r="I479" s="29"/>
      <c r="J479" s="2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8"/>
      <c r="AR479" s="27"/>
      <c r="AS479" s="29"/>
      <c r="AT479" s="26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8"/>
      <c r="CB479" s="27"/>
      <c r="CC479" s="29"/>
      <c r="CD479" s="26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8"/>
      <c r="DL479" s="27"/>
      <c r="DM479" s="36"/>
      <c r="DN479" s="26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</row>
    <row r="480">
      <c r="A480" s="27"/>
      <c r="B480" s="27"/>
      <c r="C480" s="27"/>
      <c r="D480" s="27"/>
      <c r="E480" s="27"/>
      <c r="F480" s="27"/>
      <c r="G480" s="28"/>
      <c r="H480" s="27"/>
      <c r="I480" s="29"/>
      <c r="J480" s="2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8"/>
      <c r="AR480" s="27"/>
      <c r="AS480" s="29"/>
      <c r="AT480" s="26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8"/>
      <c r="CB480" s="27"/>
      <c r="CC480" s="29"/>
      <c r="CD480" s="26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8"/>
      <c r="DL480" s="27"/>
      <c r="DM480" s="36"/>
      <c r="DN480" s="26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</row>
    <row r="481">
      <c r="A481" s="27"/>
      <c r="B481" s="27"/>
      <c r="C481" s="27"/>
      <c r="D481" s="27"/>
      <c r="E481" s="27"/>
      <c r="F481" s="27"/>
      <c r="G481" s="28"/>
      <c r="H481" s="27"/>
      <c r="I481" s="29"/>
      <c r="J481" s="2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8"/>
      <c r="AR481" s="27"/>
      <c r="AS481" s="29"/>
      <c r="AT481" s="26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8"/>
      <c r="CB481" s="27"/>
      <c r="CC481" s="29"/>
      <c r="CD481" s="26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8"/>
      <c r="DL481" s="27"/>
      <c r="DM481" s="36"/>
      <c r="DN481" s="26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</row>
    <row r="482">
      <c r="A482" s="27"/>
      <c r="B482" s="27"/>
      <c r="C482" s="27"/>
      <c r="D482" s="27"/>
      <c r="E482" s="27"/>
      <c r="F482" s="27"/>
      <c r="G482" s="28"/>
      <c r="H482" s="27"/>
      <c r="I482" s="29"/>
      <c r="J482" s="2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8"/>
      <c r="AR482" s="27"/>
      <c r="AS482" s="29"/>
      <c r="AT482" s="26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8"/>
      <c r="CB482" s="27"/>
      <c r="CC482" s="29"/>
      <c r="CD482" s="26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8"/>
      <c r="DL482" s="27"/>
      <c r="DM482" s="36"/>
      <c r="DN482" s="26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</row>
    <row r="483">
      <c r="A483" s="27"/>
      <c r="B483" s="27"/>
      <c r="C483" s="27"/>
      <c r="D483" s="27"/>
      <c r="E483" s="27"/>
      <c r="F483" s="27"/>
      <c r="G483" s="28"/>
      <c r="H483" s="27"/>
      <c r="I483" s="29"/>
      <c r="J483" s="2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8"/>
      <c r="AR483" s="27"/>
      <c r="AS483" s="29"/>
      <c r="AT483" s="26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8"/>
      <c r="CB483" s="27"/>
      <c r="CC483" s="29"/>
      <c r="CD483" s="26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8"/>
      <c r="DL483" s="27"/>
      <c r="DM483" s="36"/>
      <c r="DN483" s="26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</row>
    <row r="484">
      <c r="A484" s="27"/>
      <c r="B484" s="27"/>
      <c r="C484" s="27"/>
      <c r="D484" s="27"/>
      <c r="E484" s="27"/>
      <c r="F484" s="27"/>
      <c r="G484" s="28"/>
      <c r="H484" s="27"/>
      <c r="I484" s="29"/>
      <c r="J484" s="2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8"/>
      <c r="AR484" s="27"/>
      <c r="AS484" s="29"/>
      <c r="AT484" s="26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8"/>
      <c r="CB484" s="27"/>
      <c r="CC484" s="29"/>
      <c r="CD484" s="26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8"/>
      <c r="DL484" s="27"/>
      <c r="DM484" s="36"/>
      <c r="DN484" s="26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</row>
    <row r="485">
      <c r="A485" s="27"/>
      <c r="B485" s="27"/>
      <c r="C485" s="27"/>
      <c r="D485" s="27"/>
      <c r="E485" s="27"/>
      <c r="F485" s="27"/>
      <c r="G485" s="28"/>
      <c r="H485" s="27"/>
      <c r="I485" s="29"/>
      <c r="J485" s="2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8"/>
      <c r="AR485" s="27"/>
      <c r="AS485" s="29"/>
      <c r="AT485" s="26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8"/>
      <c r="CB485" s="27"/>
      <c r="CC485" s="29"/>
      <c r="CD485" s="26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8"/>
      <c r="DL485" s="27"/>
      <c r="DM485" s="36"/>
      <c r="DN485" s="26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</row>
    <row r="486">
      <c r="A486" s="27"/>
      <c r="B486" s="27"/>
      <c r="C486" s="27"/>
      <c r="D486" s="27"/>
      <c r="E486" s="27"/>
      <c r="F486" s="27"/>
      <c r="G486" s="28"/>
      <c r="H486" s="27"/>
      <c r="I486" s="29"/>
      <c r="J486" s="2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8"/>
      <c r="AR486" s="27"/>
      <c r="AS486" s="29"/>
      <c r="AT486" s="26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8"/>
      <c r="CB486" s="27"/>
      <c r="CC486" s="29"/>
      <c r="CD486" s="26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8"/>
      <c r="DL486" s="27"/>
      <c r="DM486" s="36"/>
      <c r="DN486" s="26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</row>
    <row r="487">
      <c r="A487" s="27"/>
      <c r="B487" s="27"/>
      <c r="C487" s="27"/>
      <c r="D487" s="27"/>
      <c r="E487" s="27"/>
      <c r="F487" s="27"/>
      <c r="G487" s="28"/>
      <c r="H487" s="27"/>
      <c r="I487" s="29"/>
      <c r="J487" s="2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8"/>
      <c r="AR487" s="27"/>
      <c r="AS487" s="29"/>
      <c r="AT487" s="26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8"/>
      <c r="CB487" s="27"/>
      <c r="CC487" s="29"/>
      <c r="CD487" s="26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8"/>
      <c r="DL487" s="27"/>
      <c r="DM487" s="36"/>
      <c r="DN487" s="26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</row>
    <row r="488">
      <c r="A488" s="27"/>
      <c r="B488" s="27"/>
      <c r="C488" s="27"/>
      <c r="D488" s="27"/>
      <c r="E488" s="27"/>
      <c r="F488" s="27"/>
      <c r="G488" s="28"/>
      <c r="H488" s="27"/>
      <c r="I488" s="29"/>
      <c r="J488" s="2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8"/>
      <c r="AR488" s="27"/>
      <c r="AS488" s="29"/>
      <c r="AT488" s="26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8"/>
      <c r="CB488" s="27"/>
      <c r="CC488" s="29"/>
      <c r="CD488" s="26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8"/>
      <c r="DL488" s="27"/>
      <c r="DM488" s="36"/>
      <c r="DN488" s="26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</row>
    <row r="489">
      <c r="A489" s="27"/>
      <c r="B489" s="27"/>
      <c r="C489" s="27"/>
      <c r="D489" s="27"/>
      <c r="E489" s="27"/>
      <c r="F489" s="27"/>
      <c r="G489" s="28"/>
      <c r="H489" s="27"/>
      <c r="I489" s="29"/>
      <c r="J489" s="2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8"/>
      <c r="AR489" s="27"/>
      <c r="AS489" s="29"/>
      <c r="AT489" s="26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8"/>
      <c r="CB489" s="27"/>
      <c r="CC489" s="29"/>
      <c r="CD489" s="26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8"/>
      <c r="DL489" s="27"/>
      <c r="DM489" s="36"/>
      <c r="DN489" s="26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</row>
    <row r="490">
      <c r="A490" s="27"/>
      <c r="B490" s="27"/>
      <c r="C490" s="27"/>
      <c r="D490" s="27"/>
      <c r="E490" s="27"/>
      <c r="F490" s="27"/>
      <c r="G490" s="28"/>
      <c r="H490" s="27"/>
      <c r="I490" s="29"/>
      <c r="J490" s="2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8"/>
      <c r="AR490" s="27"/>
      <c r="AS490" s="29"/>
      <c r="AT490" s="26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8"/>
      <c r="CB490" s="27"/>
      <c r="CC490" s="29"/>
      <c r="CD490" s="26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8"/>
      <c r="DL490" s="27"/>
      <c r="DM490" s="36"/>
      <c r="DN490" s="26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</row>
    <row r="491">
      <c r="A491" s="27"/>
      <c r="B491" s="27"/>
      <c r="C491" s="27"/>
      <c r="D491" s="27"/>
      <c r="E491" s="27"/>
      <c r="F491" s="27"/>
      <c r="G491" s="28"/>
      <c r="H491" s="27"/>
      <c r="I491" s="29"/>
      <c r="J491" s="2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8"/>
      <c r="AR491" s="27"/>
      <c r="AS491" s="29"/>
      <c r="AT491" s="26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8"/>
      <c r="CB491" s="27"/>
      <c r="CC491" s="29"/>
      <c r="CD491" s="26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8"/>
      <c r="DL491" s="27"/>
      <c r="DM491" s="36"/>
      <c r="DN491" s="26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</row>
    <row r="492">
      <c r="A492" s="27"/>
      <c r="B492" s="27"/>
      <c r="C492" s="27"/>
      <c r="D492" s="27"/>
      <c r="E492" s="27"/>
      <c r="F492" s="27"/>
      <c r="G492" s="28"/>
      <c r="H492" s="27"/>
      <c r="I492" s="29"/>
      <c r="J492" s="2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8"/>
      <c r="AR492" s="27"/>
      <c r="AS492" s="29"/>
      <c r="AT492" s="26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8"/>
      <c r="CB492" s="27"/>
      <c r="CC492" s="29"/>
      <c r="CD492" s="26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8"/>
      <c r="DL492" s="27"/>
      <c r="DM492" s="36"/>
      <c r="DN492" s="26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</row>
    <row r="493">
      <c r="A493" s="27"/>
      <c r="B493" s="27"/>
      <c r="C493" s="27"/>
      <c r="D493" s="27"/>
      <c r="E493" s="27"/>
      <c r="F493" s="27"/>
      <c r="G493" s="28"/>
      <c r="H493" s="27"/>
      <c r="I493" s="29"/>
      <c r="J493" s="2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8"/>
      <c r="AR493" s="27"/>
      <c r="AS493" s="29"/>
      <c r="AT493" s="26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8"/>
      <c r="CB493" s="27"/>
      <c r="CC493" s="29"/>
      <c r="CD493" s="26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8"/>
      <c r="DL493" s="27"/>
      <c r="DM493" s="36"/>
      <c r="DN493" s="26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</row>
    <row r="494">
      <c r="A494" s="27"/>
      <c r="B494" s="27"/>
      <c r="C494" s="27"/>
      <c r="D494" s="27"/>
      <c r="E494" s="27"/>
      <c r="F494" s="27"/>
      <c r="G494" s="28"/>
      <c r="H494" s="27"/>
      <c r="I494" s="29"/>
      <c r="J494" s="2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8"/>
      <c r="AR494" s="27"/>
      <c r="AS494" s="29"/>
      <c r="AT494" s="26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8"/>
      <c r="CB494" s="27"/>
      <c r="CC494" s="29"/>
      <c r="CD494" s="26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8"/>
      <c r="DL494" s="27"/>
      <c r="DM494" s="36"/>
      <c r="DN494" s="26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</row>
    <row r="495">
      <c r="A495" s="27"/>
      <c r="B495" s="27"/>
      <c r="C495" s="27"/>
      <c r="D495" s="27"/>
      <c r="E495" s="27"/>
      <c r="F495" s="27"/>
      <c r="G495" s="28"/>
      <c r="H495" s="27"/>
      <c r="I495" s="29"/>
      <c r="J495" s="2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8"/>
      <c r="AR495" s="27"/>
      <c r="AS495" s="29"/>
      <c r="AT495" s="26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8"/>
      <c r="CB495" s="27"/>
      <c r="CC495" s="29"/>
      <c r="CD495" s="26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8"/>
      <c r="DL495" s="27"/>
      <c r="DM495" s="36"/>
      <c r="DN495" s="26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</row>
    <row r="496">
      <c r="A496" s="27"/>
      <c r="B496" s="27"/>
      <c r="C496" s="27"/>
      <c r="D496" s="27"/>
      <c r="E496" s="27"/>
      <c r="F496" s="27"/>
      <c r="G496" s="28"/>
      <c r="H496" s="27"/>
      <c r="I496" s="29"/>
      <c r="J496" s="2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8"/>
      <c r="AR496" s="27"/>
      <c r="AS496" s="29"/>
      <c r="AT496" s="26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8"/>
      <c r="CB496" s="27"/>
      <c r="CC496" s="29"/>
      <c r="CD496" s="26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8"/>
      <c r="DL496" s="27"/>
      <c r="DM496" s="36"/>
      <c r="DN496" s="26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</row>
    <row r="497">
      <c r="A497" s="27"/>
      <c r="B497" s="27"/>
      <c r="C497" s="27"/>
      <c r="D497" s="27"/>
      <c r="E497" s="27"/>
      <c r="F497" s="27"/>
      <c r="G497" s="28"/>
      <c r="H497" s="27"/>
      <c r="I497" s="29"/>
      <c r="J497" s="2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8"/>
      <c r="AR497" s="27"/>
      <c r="AS497" s="29"/>
      <c r="AT497" s="26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8"/>
      <c r="CB497" s="27"/>
      <c r="CC497" s="29"/>
      <c r="CD497" s="26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8"/>
      <c r="DL497" s="27"/>
      <c r="DM497" s="36"/>
      <c r="DN497" s="26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</row>
    <row r="498">
      <c r="A498" s="27"/>
      <c r="B498" s="27"/>
      <c r="C498" s="27"/>
      <c r="D498" s="27"/>
      <c r="E498" s="27"/>
      <c r="F498" s="27"/>
      <c r="G498" s="28"/>
      <c r="H498" s="27"/>
      <c r="I498" s="29"/>
      <c r="J498" s="2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8"/>
      <c r="AR498" s="27"/>
      <c r="AS498" s="29"/>
      <c r="AT498" s="26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8"/>
      <c r="CB498" s="27"/>
      <c r="CC498" s="29"/>
      <c r="CD498" s="26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8"/>
      <c r="DL498" s="27"/>
      <c r="DM498" s="36"/>
      <c r="DN498" s="26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</row>
    <row r="499">
      <c r="A499" s="27"/>
      <c r="B499" s="27"/>
      <c r="C499" s="27"/>
      <c r="D499" s="27"/>
      <c r="E499" s="27"/>
      <c r="F499" s="27"/>
      <c r="G499" s="28"/>
      <c r="H499" s="27"/>
      <c r="I499" s="29"/>
      <c r="J499" s="2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8"/>
      <c r="AR499" s="27"/>
      <c r="AS499" s="29"/>
      <c r="AT499" s="26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8"/>
      <c r="CB499" s="27"/>
      <c r="CC499" s="29"/>
      <c r="CD499" s="26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8"/>
      <c r="DL499" s="27"/>
      <c r="DM499" s="36"/>
      <c r="DN499" s="26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</row>
    <row r="500">
      <c r="A500" s="27"/>
      <c r="B500" s="27"/>
      <c r="C500" s="27"/>
      <c r="D500" s="27"/>
      <c r="E500" s="27"/>
      <c r="F500" s="27"/>
      <c r="G500" s="28"/>
      <c r="H500" s="27"/>
      <c r="I500" s="29"/>
      <c r="J500" s="2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8"/>
      <c r="AR500" s="27"/>
      <c r="AS500" s="29"/>
      <c r="AT500" s="26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8"/>
      <c r="CB500" s="27"/>
      <c r="CC500" s="29"/>
      <c r="CD500" s="26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8"/>
      <c r="DL500" s="27"/>
      <c r="DM500" s="36"/>
      <c r="DN500" s="26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</row>
    <row r="501">
      <c r="A501" s="27"/>
      <c r="B501" s="27"/>
      <c r="C501" s="27"/>
      <c r="D501" s="27"/>
      <c r="E501" s="27"/>
      <c r="F501" s="27"/>
      <c r="G501" s="28"/>
      <c r="H501" s="27"/>
      <c r="I501" s="29"/>
      <c r="J501" s="2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8"/>
      <c r="AR501" s="27"/>
      <c r="AS501" s="29"/>
      <c r="AT501" s="26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8"/>
      <c r="CB501" s="27"/>
      <c r="CC501" s="29"/>
      <c r="CD501" s="26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8"/>
      <c r="DL501" s="27"/>
      <c r="DM501" s="36"/>
      <c r="DN501" s="26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</row>
    <row r="502">
      <c r="A502" s="27"/>
      <c r="B502" s="27"/>
      <c r="C502" s="27"/>
      <c r="D502" s="27"/>
      <c r="E502" s="27"/>
      <c r="F502" s="27"/>
      <c r="G502" s="28"/>
      <c r="H502" s="27"/>
      <c r="I502" s="29"/>
      <c r="J502" s="2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8"/>
      <c r="AR502" s="27"/>
      <c r="AS502" s="29"/>
      <c r="AT502" s="26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8"/>
      <c r="CB502" s="27"/>
      <c r="CC502" s="29"/>
      <c r="CD502" s="26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8"/>
      <c r="DL502" s="27"/>
      <c r="DM502" s="36"/>
      <c r="DN502" s="26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</row>
    <row r="503">
      <c r="A503" s="27"/>
      <c r="B503" s="27"/>
      <c r="C503" s="27"/>
      <c r="D503" s="27"/>
      <c r="E503" s="27"/>
      <c r="F503" s="27"/>
      <c r="G503" s="28"/>
      <c r="H503" s="27"/>
      <c r="I503" s="29"/>
      <c r="J503" s="2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8"/>
      <c r="AR503" s="27"/>
      <c r="AS503" s="29"/>
      <c r="AT503" s="26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8"/>
      <c r="CB503" s="27"/>
      <c r="CC503" s="29"/>
      <c r="CD503" s="26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8"/>
      <c r="DL503" s="27"/>
      <c r="DM503" s="36"/>
      <c r="DN503" s="26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</row>
    <row r="504">
      <c r="A504" s="27"/>
      <c r="B504" s="27"/>
      <c r="C504" s="27"/>
      <c r="D504" s="27"/>
      <c r="E504" s="27"/>
      <c r="F504" s="27"/>
      <c r="G504" s="28"/>
      <c r="H504" s="27"/>
      <c r="I504" s="29"/>
      <c r="J504" s="2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8"/>
      <c r="AR504" s="27"/>
      <c r="AS504" s="29"/>
      <c r="AT504" s="26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8"/>
      <c r="CB504" s="27"/>
      <c r="CC504" s="29"/>
      <c r="CD504" s="26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8"/>
      <c r="DL504" s="27"/>
      <c r="DM504" s="36"/>
      <c r="DN504" s="26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</row>
    <row r="505">
      <c r="A505" s="27"/>
      <c r="B505" s="27"/>
      <c r="C505" s="27"/>
      <c r="D505" s="27"/>
      <c r="E505" s="27"/>
      <c r="F505" s="27"/>
      <c r="G505" s="28"/>
      <c r="H505" s="27"/>
      <c r="I505" s="29"/>
      <c r="J505" s="2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8"/>
      <c r="AR505" s="27"/>
      <c r="AS505" s="29"/>
      <c r="AT505" s="26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8"/>
      <c r="CB505" s="27"/>
      <c r="CC505" s="29"/>
      <c r="CD505" s="26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8"/>
      <c r="DL505" s="27"/>
      <c r="DM505" s="36"/>
      <c r="DN505" s="26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</row>
    <row r="506">
      <c r="A506" s="27"/>
      <c r="B506" s="27"/>
      <c r="C506" s="27"/>
      <c r="D506" s="27"/>
      <c r="E506" s="27"/>
      <c r="F506" s="27"/>
      <c r="G506" s="28"/>
      <c r="H506" s="27"/>
      <c r="I506" s="29"/>
      <c r="J506" s="2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8"/>
      <c r="AR506" s="27"/>
      <c r="AS506" s="29"/>
      <c r="AT506" s="26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8"/>
      <c r="CB506" s="27"/>
      <c r="CC506" s="29"/>
      <c r="CD506" s="26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8"/>
      <c r="DL506" s="27"/>
      <c r="DM506" s="36"/>
      <c r="DN506" s="26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</row>
    <row r="507">
      <c r="A507" s="27"/>
      <c r="B507" s="27"/>
      <c r="C507" s="27"/>
      <c r="D507" s="27"/>
      <c r="E507" s="27"/>
      <c r="F507" s="27"/>
      <c r="G507" s="28"/>
      <c r="H507" s="27"/>
      <c r="I507" s="29"/>
      <c r="J507" s="2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8"/>
      <c r="AR507" s="27"/>
      <c r="AS507" s="29"/>
      <c r="AT507" s="26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8"/>
      <c r="CB507" s="27"/>
      <c r="CC507" s="29"/>
      <c r="CD507" s="26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8"/>
      <c r="DL507" s="27"/>
      <c r="DM507" s="36"/>
      <c r="DN507" s="26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</row>
    <row r="508">
      <c r="A508" s="27"/>
      <c r="B508" s="27"/>
      <c r="C508" s="27"/>
      <c r="D508" s="27"/>
      <c r="E508" s="27"/>
      <c r="F508" s="27"/>
      <c r="G508" s="28"/>
      <c r="H508" s="27"/>
      <c r="I508" s="29"/>
      <c r="J508" s="2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8"/>
      <c r="AR508" s="27"/>
      <c r="AS508" s="29"/>
      <c r="AT508" s="26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8"/>
      <c r="CB508" s="27"/>
      <c r="CC508" s="29"/>
      <c r="CD508" s="26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8"/>
      <c r="DL508" s="27"/>
      <c r="DM508" s="36"/>
      <c r="DN508" s="26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</row>
    <row r="509">
      <c r="A509" s="27"/>
      <c r="B509" s="27"/>
      <c r="C509" s="27"/>
      <c r="D509" s="27"/>
      <c r="E509" s="27"/>
      <c r="F509" s="27"/>
      <c r="G509" s="28"/>
      <c r="H509" s="27"/>
      <c r="I509" s="29"/>
      <c r="J509" s="2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8"/>
      <c r="AR509" s="27"/>
      <c r="AS509" s="29"/>
      <c r="AT509" s="26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8"/>
      <c r="CB509" s="27"/>
      <c r="CC509" s="29"/>
      <c r="CD509" s="26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8"/>
      <c r="DL509" s="27"/>
      <c r="DM509" s="36"/>
      <c r="DN509" s="26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</row>
    <row r="510">
      <c r="A510" s="27"/>
      <c r="B510" s="27"/>
      <c r="C510" s="27"/>
      <c r="D510" s="27"/>
      <c r="E510" s="27"/>
      <c r="F510" s="27"/>
      <c r="G510" s="28"/>
      <c r="H510" s="27"/>
      <c r="I510" s="29"/>
      <c r="J510" s="2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8"/>
      <c r="AR510" s="27"/>
      <c r="AS510" s="29"/>
      <c r="AT510" s="26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8"/>
      <c r="CB510" s="27"/>
      <c r="CC510" s="29"/>
      <c r="CD510" s="26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8"/>
      <c r="DL510" s="27"/>
      <c r="DM510" s="36"/>
      <c r="DN510" s="26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</row>
    <row r="511">
      <c r="A511" s="27"/>
      <c r="B511" s="27"/>
      <c r="C511" s="27"/>
      <c r="D511" s="27"/>
      <c r="E511" s="27"/>
      <c r="F511" s="27"/>
      <c r="G511" s="28"/>
      <c r="H511" s="27"/>
      <c r="I511" s="29"/>
      <c r="J511" s="2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8"/>
      <c r="AR511" s="27"/>
      <c r="AS511" s="29"/>
      <c r="AT511" s="26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8"/>
      <c r="CB511" s="27"/>
      <c r="CC511" s="29"/>
      <c r="CD511" s="26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8"/>
      <c r="DL511" s="27"/>
      <c r="DM511" s="36"/>
      <c r="DN511" s="26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</row>
    <row r="512">
      <c r="A512" s="27"/>
      <c r="B512" s="27"/>
      <c r="C512" s="27"/>
      <c r="D512" s="27"/>
      <c r="E512" s="27"/>
      <c r="F512" s="27"/>
      <c r="G512" s="28"/>
      <c r="H512" s="27"/>
      <c r="I512" s="29"/>
      <c r="J512" s="2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8"/>
      <c r="AR512" s="27"/>
      <c r="AS512" s="29"/>
      <c r="AT512" s="26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8"/>
      <c r="CB512" s="27"/>
      <c r="CC512" s="29"/>
      <c r="CD512" s="26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8"/>
      <c r="DL512" s="27"/>
      <c r="DM512" s="36"/>
      <c r="DN512" s="26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</row>
    <row r="513">
      <c r="A513" s="27"/>
      <c r="B513" s="27"/>
      <c r="C513" s="27"/>
      <c r="D513" s="27"/>
      <c r="E513" s="27"/>
      <c r="F513" s="27"/>
      <c r="G513" s="28"/>
      <c r="H513" s="27"/>
      <c r="I513" s="29"/>
      <c r="J513" s="2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8"/>
      <c r="AR513" s="27"/>
      <c r="AS513" s="29"/>
      <c r="AT513" s="26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8"/>
      <c r="CB513" s="27"/>
      <c r="CC513" s="29"/>
      <c r="CD513" s="26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8"/>
      <c r="DL513" s="27"/>
      <c r="DM513" s="36"/>
      <c r="DN513" s="26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</row>
    <row r="514">
      <c r="A514" s="27"/>
      <c r="B514" s="27"/>
      <c r="C514" s="27"/>
      <c r="D514" s="27"/>
      <c r="E514" s="27"/>
      <c r="F514" s="27"/>
      <c r="G514" s="28"/>
      <c r="H514" s="27"/>
      <c r="I514" s="29"/>
      <c r="J514" s="2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8"/>
      <c r="AR514" s="27"/>
      <c r="AS514" s="29"/>
      <c r="AT514" s="26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8"/>
      <c r="CB514" s="27"/>
      <c r="CC514" s="29"/>
      <c r="CD514" s="26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8"/>
      <c r="DL514" s="27"/>
      <c r="DM514" s="36"/>
      <c r="DN514" s="26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</row>
    <row r="515">
      <c r="A515" s="27"/>
      <c r="B515" s="27"/>
      <c r="C515" s="27"/>
      <c r="D515" s="27"/>
      <c r="E515" s="27"/>
      <c r="F515" s="27"/>
      <c r="G515" s="28"/>
      <c r="H515" s="27"/>
      <c r="I515" s="29"/>
      <c r="J515" s="2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8"/>
      <c r="AR515" s="27"/>
      <c r="AS515" s="29"/>
      <c r="AT515" s="26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8"/>
      <c r="CB515" s="27"/>
      <c r="CC515" s="29"/>
      <c r="CD515" s="26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8"/>
      <c r="DL515" s="27"/>
      <c r="DM515" s="36"/>
      <c r="DN515" s="26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</row>
    <row r="516">
      <c r="A516" s="27"/>
      <c r="B516" s="27"/>
      <c r="C516" s="27"/>
      <c r="D516" s="27"/>
      <c r="E516" s="27"/>
      <c r="F516" s="27"/>
      <c r="G516" s="28"/>
      <c r="H516" s="27"/>
      <c r="I516" s="29"/>
      <c r="J516" s="2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8"/>
      <c r="AR516" s="27"/>
      <c r="AS516" s="29"/>
      <c r="AT516" s="26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8"/>
      <c r="CB516" s="27"/>
      <c r="CC516" s="29"/>
      <c r="CD516" s="26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8"/>
      <c r="DL516" s="27"/>
      <c r="DM516" s="36"/>
      <c r="DN516" s="26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</row>
    <row r="517">
      <c r="A517" s="27"/>
      <c r="B517" s="27"/>
      <c r="C517" s="27"/>
      <c r="D517" s="27"/>
      <c r="E517" s="27"/>
      <c r="F517" s="27"/>
      <c r="G517" s="28"/>
      <c r="H517" s="27"/>
      <c r="I517" s="29"/>
      <c r="J517" s="2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8"/>
      <c r="AR517" s="27"/>
      <c r="AS517" s="29"/>
      <c r="AT517" s="26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8"/>
      <c r="CB517" s="27"/>
      <c r="CC517" s="29"/>
      <c r="CD517" s="26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8"/>
      <c r="DL517" s="27"/>
      <c r="DM517" s="36"/>
      <c r="DN517" s="26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</row>
    <row r="518">
      <c r="A518" s="27"/>
      <c r="B518" s="27"/>
      <c r="C518" s="27"/>
      <c r="D518" s="27"/>
      <c r="E518" s="27"/>
      <c r="F518" s="27"/>
      <c r="G518" s="28"/>
      <c r="H518" s="27"/>
      <c r="I518" s="29"/>
      <c r="J518" s="2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8"/>
      <c r="AR518" s="27"/>
      <c r="AS518" s="29"/>
      <c r="AT518" s="26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8"/>
      <c r="CB518" s="27"/>
      <c r="CC518" s="29"/>
      <c r="CD518" s="26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8"/>
      <c r="DL518" s="27"/>
      <c r="DM518" s="36"/>
      <c r="DN518" s="26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</row>
    <row r="519">
      <c r="A519" s="27"/>
      <c r="B519" s="27"/>
      <c r="C519" s="27"/>
      <c r="D519" s="27"/>
      <c r="E519" s="27"/>
      <c r="F519" s="27"/>
      <c r="G519" s="28"/>
      <c r="H519" s="27"/>
      <c r="I519" s="29"/>
      <c r="J519" s="2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8"/>
      <c r="AR519" s="27"/>
      <c r="AS519" s="29"/>
      <c r="AT519" s="26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8"/>
      <c r="CB519" s="27"/>
      <c r="CC519" s="29"/>
      <c r="CD519" s="26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8"/>
      <c r="DL519" s="27"/>
      <c r="DM519" s="36"/>
      <c r="DN519" s="26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</row>
    <row r="520">
      <c r="A520" s="27"/>
      <c r="B520" s="27"/>
      <c r="C520" s="27"/>
      <c r="D520" s="27"/>
      <c r="E520" s="27"/>
      <c r="F520" s="27"/>
      <c r="G520" s="28"/>
      <c r="H520" s="27"/>
      <c r="I520" s="29"/>
      <c r="J520" s="2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8"/>
      <c r="AR520" s="27"/>
      <c r="AS520" s="29"/>
      <c r="AT520" s="26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8"/>
      <c r="CB520" s="27"/>
      <c r="CC520" s="29"/>
      <c r="CD520" s="26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8"/>
      <c r="DL520" s="27"/>
      <c r="DM520" s="36"/>
      <c r="DN520" s="26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</row>
    <row r="521">
      <c r="A521" s="27"/>
      <c r="B521" s="27"/>
      <c r="C521" s="27"/>
      <c r="D521" s="27"/>
      <c r="E521" s="27"/>
      <c r="F521" s="27"/>
      <c r="G521" s="28"/>
      <c r="H521" s="27"/>
      <c r="I521" s="29"/>
      <c r="J521" s="2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8"/>
      <c r="AR521" s="27"/>
      <c r="AS521" s="29"/>
      <c r="AT521" s="26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8"/>
      <c r="CB521" s="27"/>
      <c r="CC521" s="29"/>
      <c r="CD521" s="26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8"/>
      <c r="DL521" s="27"/>
      <c r="DM521" s="36"/>
      <c r="DN521" s="26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</row>
    <row r="522">
      <c r="A522" s="27"/>
      <c r="B522" s="27"/>
      <c r="C522" s="27"/>
      <c r="D522" s="27"/>
      <c r="E522" s="27"/>
      <c r="F522" s="27"/>
      <c r="G522" s="28"/>
      <c r="H522" s="27"/>
      <c r="I522" s="29"/>
      <c r="J522" s="2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8"/>
      <c r="AR522" s="27"/>
      <c r="AS522" s="29"/>
      <c r="AT522" s="26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8"/>
      <c r="CB522" s="27"/>
      <c r="CC522" s="29"/>
      <c r="CD522" s="26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8"/>
      <c r="DL522" s="27"/>
      <c r="DM522" s="36"/>
      <c r="DN522" s="26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</row>
    <row r="523">
      <c r="A523" s="27"/>
      <c r="B523" s="27"/>
      <c r="C523" s="27"/>
      <c r="D523" s="27"/>
      <c r="E523" s="27"/>
      <c r="F523" s="27"/>
      <c r="G523" s="28"/>
      <c r="H523" s="27"/>
      <c r="I523" s="29"/>
      <c r="J523" s="2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8"/>
      <c r="AR523" s="27"/>
      <c r="AS523" s="29"/>
      <c r="AT523" s="26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8"/>
      <c r="CB523" s="27"/>
      <c r="CC523" s="29"/>
      <c r="CD523" s="26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8"/>
      <c r="DL523" s="27"/>
      <c r="DM523" s="36"/>
      <c r="DN523" s="26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</row>
    <row r="524">
      <c r="A524" s="27"/>
      <c r="B524" s="27"/>
      <c r="C524" s="27"/>
      <c r="D524" s="27"/>
      <c r="E524" s="27"/>
      <c r="F524" s="27"/>
      <c r="G524" s="28"/>
      <c r="H524" s="27"/>
      <c r="I524" s="29"/>
      <c r="J524" s="2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8"/>
      <c r="AR524" s="27"/>
      <c r="AS524" s="29"/>
      <c r="AT524" s="26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8"/>
      <c r="CB524" s="27"/>
      <c r="CC524" s="29"/>
      <c r="CD524" s="26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8"/>
      <c r="DL524" s="27"/>
      <c r="DM524" s="36"/>
      <c r="DN524" s="26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</row>
    <row r="525">
      <c r="A525" s="27"/>
      <c r="B525" s="27"/>
      <c r="C525" s="27"/>
      <c r="D525" s="27"/>
      <c r="E525" s="27"/>
      <c r="F525" s="27"/>
      <c r="G525" s="28"/>
      <c r="H525" s="27"/>
      <c r="I525" s="29"/>
      <c r="J525" s="2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8"/>
      <c r="AR525" s="27"/>
      <c r="AS525" s="29"/>
      <c r="AT525" s="26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8"/>
      <c r="CB525" s="27"/>
      <c r="CC525" s="29"/>
      <c r="CD525" s="26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8"/>
      <c r="DL525" s="27"/>
      <c r="DM525" s="36"/>
      <c r="DN525" s="26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</row>
    <row r="526">
      <c r="A526" s="27"/>
      <c r="B526" s="27"/>
      <c r="C526" s="27"/>
      <c r="D526" s="27"/>
      <c r="E526" s="27"/>
      <c r="F526" s="27"/>
      <c r="G526" s="28"/>
      <c r="H526" s="27"/>
      <c r="I526" s="29"/>
      <c r="J526" s="2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8"/>
      <c r="AR526" s="27"/>
      <c r="AS526" s="29"/>
      <c r="AT526" s="26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8"/>
      <c r="CB526" s="27"/>
      <c r="CC526" s="29"/>
      <c r="CD526" s="26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8"/>
      <c r="DL526" s="27"/>
      <c r="DM526" s="36"/>
      <c r="DN526" s="26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</row>
    <row r="527">
      <c r="A527" s="27"/>
      <c r="B527" s="27"/>
      <c r="C527" s="27"/>
      <c r="D527" s="27"/>
      <c r="E527" s="27"/>
      <c r="F527" s="27"/>
      <c r="G527" s="28"/>
      <c r="H527" s="27"/>
      <c r="I527" s="29"/>
      <c r="J527" s="2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8"/>
      <c r="AR527" s="27"/>
      <c r="AS527" s="29"/>
      <c r="AT527" s="26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8"/>
      <c r="CB527" s="27"/>
      <c r="CC527" s="29"/>
      <c r="CD527" s="26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8"/>
      <c r="DL527" s="27"/>
      <c r="DM527" s="36"/>
      <c r="DN527" s="26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</row>
    <row r="528">
      <c r="A528" s="27"/>
      <c r="B528" s="27"/>
      <c r="C528" s="27"/>
      <c r="D528" s="27"/>
      <c r="E528" s="27"/>
      <c r="F528" s="27"/>
      <c r="G528" s="28"/>
      <c r="H528" s="27"/>
      <c r="I528" s="29"/>
      <c r="J528" s="2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8"/>
      <c r="AR528" s="27"/>
      <c r="AS528" s="29"/>
      <c r="AT528" s="26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8"/>
      <c r="CB528" s="27"/>
      <c r="CC528" s="29"/>
      <c r="CD528" s="26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8"/>
      <c r="DL528" s="27"/>
      <c r="DM528" s="36"/>
      <c r="DN528" s="26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</row>
    <row r="529">
      <c r="A529" s="27"/>
      <c r="B529" s="27"/>
      <c r="C529" s="27"/>
      <c r="D529" s="27"/>
      <c r="E529" s="27"/>
      <c r="F529" s="27"/>
      <c r="G529" s="28"/>
      <c r="H529" s="27"/>
      <c r="I529" s="29"/>
      <c r="J529" s="2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8"/>
      <c r="AR529" s="27"/>
      <c r="AS529" s="29"/>
      <c r="AT529" s="26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8"/>
      <c r="CB529" s="27"/>
      <c r="CC529" s="29"/>
      <c r="CD529" s="26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8"/>
      <c r="DL529" s="27"/>
      <c r="DM529" s="36"/>
      <c r="DN529" s="26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</row>
    <row r="530">
      <c r="A530" s="27"/>
      <c r="B530" s="27"/>
      <c r="C530" s="27"/>
      <c r="D530" s="27"/>
      <c r="E530" s="27"/>
      <c r="F530" s="27"/>
      <c r="G530" s="28"/>
      <c r="H530" s="27"/>
      <c r="I530" s="29"/>
      <c r="J530" s="2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8"/>
      <c r="AR530" s="27"/>
      <c r="AS530" s="29"/>
      <c r="AT530" s="26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8"/>
      <c r="CB530" s="27"/>
      <c r="CC530" s="29"/>
      <c r="CD530" s="26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8"/>
      <c r="DL530" s="27"/>
      <c r="DM530" s="36"/>
      <c r="DN530" s="26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</row>
    <row r="531">
      <c r="A531" s="27"/>
      <c r="B531" s="27"/>
      <c r="C531" s="27"/>
      <c r="D531" s="27"/>
      <c r="E531" s="27"/>
      <c r="F531" s="27"/>
      <c r="G531" s="28"/>
      <c r="H531" s="27"/>
      <c r="I531" s="29"/>
      <c r="J531" s="2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8"/>
      <c r="AR531" s="27"/>
      <c r="AS531" s="29"/>
      <c r="AT531" s="26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8"/>
      <c r="CB531" s="27"/>
      <c r="CC531" s="29"/>
      <c r="CD531" s="26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8"/>
      <c r="DL531" s="27"/>
      <c r="DM531" s="36"/>
      <c r="DN531" s="26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</row>
    <row r="532">
      <c r="A532" s="27"/>
      <c r="B532" s="27"/>
      <c r="C532" s="27"/>
      <c r="D532" s="27"/>
      <c r="E532" s="27"/>
      <c r="F532" s="27"/>
      <c r="G532" s="28"/>
      <c r="H532" s="27"/>
      <c r="I532" s="29"/>
      <c r="J532" s="2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8"/>
      <c r="AR532" s="27"/>
      <c r="AS532" s="29"/>
      <c r="AT532" s="26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8"/>
      <c r="CB532" s="27"/>
      <c r="CC532" s="29"/>
      <c r="CD532" s="26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8"/>
      <c r="DL532" s="27"/>
      <c r="DM532" s="36"/>
      <c r="DN532" s="26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</row>
    <row r="533">
      <c r="A533" s="27"/>
      <c r="B533" s="27"/>
      <c r="C533" s="27"/>
      <c r="D533" s="27"/>
      <c r="E533" s="27"/>
      <c r="F533" s="27"/>
      <c r="G533" s="28"/>
      <c r="H533" s="27"/>
      <c r="I533" s="29"/>
      <c r="J533" s="2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8"/>
      <c r="AR533" s="27"/>
      <c r="AS533" s="29"/>
      <c r="AT533" s="26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8"/>
      <c r="CB533" s="27"/>
      <c r="CC533" s="29"/>
      <c r="CD533" s="26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8"/>
      <c r="DL533" s="27"/>
      <c r="DM533" s="36"/>
      <c r="DN533" s="26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</row>
    <row r="534">
      <c r="A534" s="27"/>
      <c r="B534" s="27"/>
      <c r="C534" s="27"/>
      <c r="D534" s="27"/>
      <c r="E534" s="27"/>
      <c r="F534" s="27"/>
      <c r="G534" s="28"/>
      <c r="H534" s="27"/>
      <c r="I534" s="29"/>
      <c r="J534" s="2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8"/>
      <c r="AR534" s="27"/>
      <c r="AS534" s="29"/>
      <c r="AT534" s="26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8"/>
      <c r="CB534" s="27"/>
      <c r="CC534" s="29"/>
      <c r="CD534" s="26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8"/>
      <c r="DL534" s="27"/>
      <c r="DM534" s="36"/>
      <c r="DN534" s="26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</row>
    <row r="535">
      <c r="A535" s="27"/>
      <c r="B535" s="27"/>
      <c r="C535" s="27"/>
      <c r="D535" s="27"/>
      <c r="E535" s="27"/>
      <c r="F535" s="27"/>
      <c r="G535" s="28"/>
      <c r="H535" s="27"/>
      <c r="I535" s="29"/>
      <c r="J535" s="2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8"/>
      <c r="AR535" s="27"/>
      <c r="AS535" s="29"/>
      <c r="AT535" s="26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8"/>
      <c r="CB535" s="27"/>
      <c r="CC535" s="29"/>
      <c r="CD535" s="26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8"/>
      <c r="DL535" s="27"/>
      <c r="DM535" s="36"/>
      <c r="DN535" s="26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</row>
    <row r="536">
      <c r="A536" s="27"/>
      <c r="B536" s="27"/>
      <c r="C536" s="27"/>
      <c r="D536" s="27"/>
      <c r="E536" s="27"/>
      <c r="F536" s="27"/>
      <c r="G536" s="28"/>
      <c r="H536" s="27"/>
      <c r="I536" s="29"/>
      <c r="J536" s="2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8"/>
      <c r="AR536" s="27"/>
      <c r="AS536" s="29"/>
      <c r="AT536" s="26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8"/>
      <c r="CB536" s="27"/>
      <c r="CC536" s="29"/>
      <c r="CD536" s="26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8"/>
      <c r="DL536" s="27"/>
      <c r="DM536" s="36"/>
      <c r="DN536" s="26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</row>
    <row r="537">
      <c r="A537" s="27"/>
      <c r="B537" s="27"/>
      <c r="C537" s="27"/>
      <c r="D537" s="27"/>
      <c r="E537" s="27"/>
      <c r="F537" s="27"/>
      <c r="G537" s="28"/>
      <c r="H537" s="27"/>
      <c r="I537" s="29"/>
      <c r="J537" s="2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8"/>
      <c r="AR537" s="27"/>
      <c r="AS537" s="29"/>
      <c r="AT537" s="26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8"/>
      <c r="CB537" s="27"/>
      <c r="CC537" s="29"/>
      <c r="CD537" s="26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8"/>
      <c r="DL537" s="27"/>
      <c r="DM537" s="36"/>
      <c r="DN537" s="26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</row>
    <row r="538">
      <c r="A538" s="27"/>
      <c r="B538" s="27"/>
      <c r="C538" s="27"/>
      <c r="D538" s="27"/>
      <c r="E538" s="27"/>
      <c r="F538" s="27"/>
      <c r="G538" s="28"/>
      <c r="H538" s="27"/>
      <c r="I538" s="29"/>
      <c r="J538" s="2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8"/>
      <c r="AR538" s="27"/>
      <c r="AS538" s="29"/>
      <c r="AT538" s="26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8"/>
      <c r="CB538" s="27"/>
      <c r="CC538" s="29"/>
      <c r="CD538" s="26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8"/>
      <c r="DL538" s="27"/>
      <c r="DM538" s="36"/>
      <c r="DN538" s="26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</row>
    <row r="539">
      <c r="A539" s="27"/>
      <c r="B539" s="27"/>
      <c r="C539" s="27"/>
      <c r="D539" s="27"/>
      <c r="E539" s="27"/>
      <c r="F539" s="27"/>
      <c r="G539" s="28"/>
      <c r="H539" s="27"/>
      <c r="I539" s="29"/>
      <c r="J539" s="2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8"/>
      <c r="AR539" s="27"/>
      <c r="AS539" s="29"/>
      <c r="AT539" s="26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8"/>
      <c r="CB539" s="27"/>
      <c r="CC539" s="29"/>
      <c r="CD539" s="26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8"/>
      <c r="DL539" s="27"/>
      <c r="DM539" s="36"/>
      <c r="DN539" s="26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</row>
    <row r="540">
      <c r="A540" s="27"/>
      <c r="B540" s="27"/>
      <c r="C540" s="27"/>
      <c r="D540" s="27"/>
      <c r="E540" s="27"/>
      <c r="F540" s="27"/>
      <c r="G540" s="28"/>
      <c r="H540" s="27"/>
      <c r="I540" s="29"/>
      <c r="J540" s="2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8"/>
      <c r="AR540" s="27"/>
      <c r="AS540" s="29"/>
      <c r="AT540" s="26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8"/>
      <c r="CB540" s="27"/>
      <c r="CC540" s="29"/>
      <c r="CD540" s="26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8"/>
      <c r="DL540" s="27"/>
      <c r="DM540" s="36"/>
      <c r="DN540" s="26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</row>
    <row r="541">
      <c r="A541" s="27"/>
      <c r="B541" s="27"/>
      <c r="C541" s="27"/>
      <c r="D541" s="27"/>
      <c r="E541" s="27"/>
      <c r="F541" s="27"/>
      <c r="G541" s="28"/>
      <c r="H541" s="27"/>
      <c r="I541" s="29"/>
      <c r="J541" s="2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8"/>
      <c r="AR541" s="27"/>
      <c r="AS541" s="29"/>
      <c r="AT541" s="26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8"/>
      <c r="CB541" s="27"/>
      <c r="CC541" s="29"/>
      <c r="CD541" s="26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8"/>
      <c r="DL541" s="27"/>
      <c r="DM541" s="36"/>
      <c r="DN541" s="26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</row>
    <row r="542">
      <c r="A542" s="27"/>
      <c r="B542" s="27"/>
      <c r="C542" s="27"/>
      <c r="D542" s="27"/>
      <c r="E542" s="27"/>
      <c r="F542" s="27"/>
      <c r="G542" s="28"/>
      <c r="H542" s="27"/>
      <c r="I542" s="29"/>
      <c r="J542" s="2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8"/>
      <c r="AR542" s="27"/>
      <c r="AS542" s="29"/>
      <c r="AT542" s="26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8"/>
      <c r="CB542" s="27"/>
      <c r="CC542" s="29"/>
      <c r="CD542" s="26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8"/>
      <c r="DL542" s="27"/>
      <c r="DM542" s="36"/>
      <c r="DN542" s="26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</row>
    <row r="543">
      <c r="A543" s="27"/>
      <c r="B543" s="27"/>
      <c r="C543" s="27"/>
      <c r="D543" s="27"/>
      <c r="E543" s="27"/>
      <c r="F543" s="27"/>
      <c r="G543" s="28"/>
      <c r="H543" s="27"/>
      <c r="I543" s="29"/>
      <c r="J543" s="2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8"/>
      <c r="AR543" s="27"/>
      <c r="AS543" s="29"/>
      <c r="AT543" s="26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8"/>
      <c r="CB543" s="27"/>
      <c r="CC543" s="29"/>
      <c r="CD543" s="26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8"/>
      <c r="DL543" s="27"/>
      <c r="DM543" s="36"/>
      <c r="DN543" s="26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</row>
    <row r="544">
      <c r="A544" s="27"/>
      <c r="B544" s="27"/>
      <c r="C544" s="27"/>
      <c r="D544" s="27"/>
      <c r="E544" s="27"/>
      <c r="F544" s="27"/>
      <c r="G544" s="28"/>
      <c r="H544" s="27"/>
      <c r="I544" s="29"/>
      <c r="J544" s="2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8"/>
      <c r="AR544" s="27"/>
      <c r="AS544" s="29"/>
      <c r="AT544" s="26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8"/>
      <c r="CB544" s="27"/>
      <c r="CC544" s="29"/>
      <c r="CD544" s="26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8"/>
      <c r="DL544" s="27"/>
      <c r="DM544" s="36"/>
      <c r="DN544" s="26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</row>
    <row r="545">
      <c r="A545" s="27"/>
      <c r="B545" s="27"/>
      <c r="C545" s="27"/>
      <c r="D545" s="27"/>
      <c r="E545" s="27"/>
      <c r="F545" s="27"/>
      <c r="G545" s="28"/>
      <c r="H545" s="27"/>
      <c r="I545" s="29"/>
      <c r="J545" s="2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8"/>
      <c r="AR545" s="27"/>
      <c r="AS545" s="29"/>
      <c r="AT545" s="26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8"/>
      <c r="CB545" s="27"/>
      <c r="CC545" s="29"/>
      <c r="CD545" s="26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8"/>
      <c r="DL545" s="27"/>
      <c r="DM545" s="36"/>
      <c r="DN545" s="26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</row>
    <row r="546">
      <c r="A546" s="27"/>
      <c r="B546" s="27"/>
      <c r="C546" s="27"/>
      <c r="D546" s="27"/>
      <c r="E546" s="27"/>
      <c r="F546" s="27"/>
      <c r="G546" s="28"/>
      <c r="H546" s="27"/>
      <c r="I546" s="29"/>
      <c r="J546" s="2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8"/>
      <c r="AR546" s="27"/>
      <c r="AS546" s="29"/>
      <c r="AT546" s="26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8"/>
      <c r="CB546" s="27"/>
      <c r="CC546" s="29"/>
      <c r="CD546" s="26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8"/>
      <c r="DL546" s="27"/>
      <c r="DM546" s="36"/>
      <c r="DN546" s="26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</row>
    <row r="547">
      <c r="A547" s="27"/>
      <c r="B547" s="27"/>
      <c r="C547" s="27"/>
      <c r="D547" s="27"/>
      <c r="E547" s="27"/>
      <c r="F547" s="27"/>
      <c r="G547" s="28"/>
      <c r="H547" s="27"/>
      <c r="I547" s="29"/>
      <c r="J547" s="2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8"/>
      <c r="AR547" s="27"/>
      <c r="AS547" s="29"/>
      <c r="AT547" s="26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8"/>
      <c r="CB547" s="27"/>
      <c r="CC547" s="29"/>
      <c r="CD547" s="26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8"/>
      <c r="DL547" s="27"/>
      <c r="DM547" s="36"/>
      <c r="DN547" s="26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</row>
    <row r="548">
      <c r="A548" s="27"/>
      <c r="B548" s="27"/>
      <c r="C548" s="27"/>
      <c r="D548" s="27"/>
      <c r="E548" s="27"/>
      <c r="F548" s="27"/>
      <c r="G548" s="28"/>
      <c r="H548" s="27"/>
      <c r="I548" s="29"/>
      <c r="J548" s="2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8"/>
      <c r="AR548" s="27"/>
      <c r="AS548" s="29"/>
      <c r="AT548" s="26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8"/>
      <c r="CB548" s="27"/>
      <c r="CC548" s="29"/>
      <c r="CD548" s="26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8"/>
      <c r="DL548" s="27"/>
      <c r="DM548" s="36"/>
      <c r="DN548" s="26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</row>
    <row r="549">
      <c r="A549" s="27"/>
      <c r="B549" s="27"/>
      <c r="C549" s="27"/>
      <c r="D549" s="27"/>
      <c r="E549" s="27"/>
      <c r="F549" s="27"/>
      <c r="G549" s="28"/>
      <c r="H549" s="27"/>
      <c r="I549" s="29"/>
      <c r="J549" s="2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8"/>
      <c r="AR549" s="27"/>
      <c r="AS549" s="29"/>
      <c r="AT549" s="26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8"/>
      <c r="CB549" s="27"/>
      <c r="CC549" s="29"/>
      <c r="CD549" s="26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8"/>
      <c r="DL549" s="27"/>
      <c r="DM549" s="36"/>
      <c r="DN549" s="26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</row>
    <row r="550">
      <c r="A550" s="27"/>
      <c r="B550" s="27"/>
      <c r="C550" s="27"/>
      <c r="D550" s="27"/>
      <c r="E550" s="27"/>
      <c r="F550" s="27"/>
      <c r="G550" s="28"/>
      <c r="H550" s="27"/>
      <c r="I550" s="29"/>
      <c r="J550" s="2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8"/>
      <c r="AR550" s="27"/>
      <c r="AS550" s="29"/>
      <c r="AT550" s="26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8"/>
      <c r="CB550" s="27"/>
      <c r="CC550" s="29"/>
      <c r="CD550" s="26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8"/>
      <c r="DL550" s="27"/>
      <c r="DM550" s="36"/>
      <c r="DN550" s="26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</row>
    <row r="551">
      <c r="A551" s="27"/>
      <c r="B551" s="27"/>
      <c r="C551" s="27"/>
      <c r="D551" s="27"/>
      <c r="E551" s="27"/>
      <c r="F551" s="27"/>
      <c r="G551" s="28"/>
      <c r="H551" s="27"/>
      <c r="I551" s="29"/>
      <c r="J551" s="2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8"/>
      <c r="AR551" s="27"/>
      <c r="AS551" s="29"/>
      <c r="AT551" s="26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8"/>
      <c r="CB551" s="27"/>
      <c r="CC551" s="29"/>
      <c r="CD551" s="26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8"/>
      <c r="DL551" s="27"/>
      <c r="DM551" s="36"/>
      <c r="DN551" s="26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</row>
    <row r="552">
      <c r="A552" s="27"/>
      <c r="B552" s="27"/>
      <c r="C552" s="27"/>
      <c r="D552" s="27"/>
      <c r="E552" s="27"/>
      <c r="F552" s="27"/>
      <c r="G552" s="28"/>
      <c r="H552" s="27"/>
      <c r="I552" s="29"/>
      <c r="J552" s="2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8"/>
      <c r="AR552" s="27"/>
      <c r="AS552" s="29"/>
      <c r="AT552" s="26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8"/>
      <c r="CB552" s="27"/>
      <c r="CC552" s="29"/>
      <c r="CD552" s="26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8"/>
      <c r="DL552" s="27"/>
      <c r="DM552" s="36"/>
      <c r="DN552" s="26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</row>
    <row r="553">
      <c r="A553" s="27"/>
      <c r="B553" s="27"/>
      <c r="C553" s="27"/>
      <c r="D553" s="27"/>
      <c r="E553" s="27"/>
      <c r="F553" s="27"/>
      <c r="G553" s="28"/>
      <c r="H553" s="27"/>
      <c r="I553" s="29"/>
      <c r="J553" s="2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8"/>
      <c r="AR553" s="27"/>
      <c r="AS553" s="29"/>
      <c r="AT553" s="26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8"/>
      <c r="CB553" s="27"/>
      <c r="CC553" s="29"/>
      <c r="CD553" s="26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8"/>
      <c r="DL553" s="27"/>
      <c r="DM553" s="36"/>
      <c r="DN553" s="26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</row>
    <row r="554">
      <c r="A554" s="27"/>
      <c r="B554" s="27"/>
      <c r="C554" s="27"/>
      <c r="D554" s="27"/>
      <c r="E554" s="27"/>
      <c r="F554" s="27"/>
      <c r="G554" s="28"/>
      <c r="H554" s="27"/>
      <c r="I554" s="29"/>
      <c r="J554" s="2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8"/>
      <c r="AR554" s="27"/>
      <c r="AS554" s="29"/>
      <c r="AT554" s="26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8"/>
      <c r="CB554" s="27"/>
      <c r="CC554" s="29"/>
      <c r="CD554" s="26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8"/>
      <c r="DL554" s="27"/>
      <c r="DM554" s="36"/>
      <c r="DN554" s="26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</row>
    <row r="555">
      <c r="A555" s="27"/>
      <c r="B555" s="27"/>
      <c r="C555" s="27"/>
      <c r="D555" s="27"/>
      <c r="E555" s="27"/>
      <c r="F555" s="27"/>
      <c r="G555" s="28"/>
      <c r="H555" s="27"/>
      <c r="I555" s="29"/>
      <c r="J555" s="2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8"/>
      <c r="AR555" s="27"/>
      <c r="AS555" s="29"/>
      <c r="AT555" s="26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8"/>
      <c r="CB555" s="27"/>
      <c r="CC555" s="29"/>
      <c r="CD555" s="26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8"/>
      <c r="DL555" s="27"/>
      <c r="DM555" s="36"/>
      <c r="DN555" s="26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</row>
    <row r="556">
      <c r="A556" s="27"/>
      <c r="B556" s="27"/>
      <c r="C556" s="27"/>
      <c r="D556" s="27"/>
      <c r="E556" s="27"/>
      <c r="F556" s="27"/>
      <c r="G556" s="28"/>
      <c r="H556" s="27"/>
      <c r="I556" s="29"/>
      <c r="J556" s="2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8"/>
      <c r="AR556" s="27"/>
      <c r="AS556" s="29"/>
      <c r="AT556" s="26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8"/>
      <c r="CB556" s="27"/>
      <c r="CC556" s="29"/>
      <c r="CD556" s="26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8"/>
      <c r="DL556" s="27"/>
      <c r="DM556" s="36"/>
      <c r="DN556" s="26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</row>
    <row r="557">
      <c r="A557" s="27"/>
      <c r="B557" s="27"/>
      <c r="C557" s="27"/>
      <c r="D557" s="27"/>
      <c r="E557" s="27"/>
      <c r="F557" s="27"/>
      <c r="G557" s="28"/>
      <c r="H557" s="27"/>
      <c r="I557" s="29"/>
      <c r="J557" s="2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8"/>
      <c r="AR557" s="27"/>
      <c r="AS557" s="29"/>
      <c r="AT557" s="26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8"/>
      <c r="CB557" s="27"/>
      <c r="CC557" s="29"/>
      <c r="CD557" s="26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8"/>
      <c r="DL557" s="27"/>
      <c r="DM557" s="36"/>
      <c r="DN557" s="26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</row>
    <row r="558">
      <c r="A558" s="27"/>
      <c r="B558" s="27"/>
      <c r="C558" s="27"/>
      <c r="D558" s="27"/>
      <c r="E558" s="27"/>
      <c r="F558" s="27"/>
      <c r="G558" s="28"/>
      <c r="H558" s="27"/>
      <c r="I558" s="29"/>
      <c r="J558" s="2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8"/>
      <c r="AR558" s="27"/>
      <c r="AS558" s="29"/>
      <c r="AT558" s="26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8"/>
      <c r="CB558" s="27"/>
      <c r="CC558" s="29"/>
      <c r="CD558" s="26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8"/>
      <c r="DL558" s="27"/>
      <c r="DM558" s="36"/>
      <c r="DN558" s="26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</row>
    <row r="559">
      <c r="A559" s="27"/>
      <c r="B559" s="27"/>
      <c r="C559" s="27"/>
      <c r="D559" s="27"/>
      <c r="E559" s="27"/>
      <c r="F559" s="27"/>
      <c r="G559" s="28"/>
      <c r="H559" s="27"/>
      <c r="I559" s="29"/>
      <c r="J559" s="2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8"/>
      <c r="AR559" s="27"/>
      <c r="AS559" s="29"/>
      <c r="AT559" s="26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8"/>
      <c r="CB559" s="27"/>
      <c r="CC559" s="29"/>
      <c r="CD559" s="26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8"/>
      <c r="DL559" s="27"/>
      <c r="DM559" s="36"/>
      <c r="DN559" s="26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</row>
    <row r="560">
      <c r="A560" s="27"/>
      <c r="B560" s="27"/>
      <c r="C560" s="27"/>
      <c r="D560" s="27"/>
      <c r="E560" s="27"/>
      <c r="F560" s="27"/>
      <c r="G560" s="28"/>
      <c r="H560" s="27"/>
      <c r="I560" s="29"/>
      <c r="J560" s="2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8"/>
      <c r="AR560" s="27"/>
      <c r="AS560" s="29"/>
      <c r="AT560" s="26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8"/>
      <c r="CB560" s="27"/>
      <c r="CC560" s="29"/>
      <c r="CD560" s="26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8"/>
      <c r="DL560" s="27"/>
      <c r="DM560" s="36"/>
      <c r="DN560" s="26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</row>
    <row r="561">
      <c r="A561" s="27"/>
      <c r="B561" s="27"/>
      <c r="C561" s="27"/>
      <c r="D561" s="27"/>
      <c r="E561" s="27"/>
      <c r="F561" s="27"/>
      <c r="G561" s="28"/>
      <c r="H561" s="27"/>
      <c r="I561" s="29"/>
      <c r="J561" s="2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8"/>
      <c r="AR561" s="27"/>
      <c r="AS561" s="29"/>
      <c r="AT561" s="26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8"/>
      <c r="CB561" s="27"/>
      <c r="CC561" s="29"/>
      <c r="CD561" s="26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8"/>
      <c r="DL561" s="27"/>
      <c r="DM561" s="36"/>
      <c r="DN561" s="26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</row>
    <row r="562">
      <c r="A562" s="27"/>
      <c r="B562" s="27"/>
      <c r="C562" s="27"/>
      <c r="D562" s="27"/>
      <c r="E562" s="27"/>
      <c r="F562" s="27"/>
      <c r="G562" s="28"/>
      <c r="H562" s="27"/>
      <c r="I562" s="29"/>
      <c r="J562" s="2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8"/>
      <c r="AR562" s="27"/>
      <c r="AS562" s="29"/>
      <c r="AT562" s="26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8"/>
      <c r="CB562" s="27"/>
      <c r="CC562" s="29"/>
      <c r="CD562" s="26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8"/>
      <c r="DL562" s="27"/>
      <c r="DM562" s="36"/>
      <c r="DN562" s="26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</row>
    <row r="563">
      <c r="A563" s="27"/>
      <c r="B563" s="27"/>
      <c r="C563" s="27"/>
      <c r="D563" s="27"/>
      <c r="E563" s="27"/>
      <c r="F563" s="27"/>
      <c r="G563" s="28"/>
      <c r="H563" s="27"/>
      <c r="I563" s="29"/>
      <c r="J563" s="2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8"/>
      <c r="AR563" s="27"/>
      <c r="AS563" s="29"/>
      <c r="AT563" s="26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8"/>
      <c r="CB563" s="27"/>
      <c r="CC563" s="29"/>
      <c r="CD563" s="26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8"/>
      <c r="DL563" s="27"/>
      <c r="DM563" s="36"/>
      <c r="DN563" s="26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</row>
    <row r="564">
      <c r="A564" s="27"/>
      <c r="B564" s="27"/>
      <c r="C564" s="27"/>
      <c r="D564" s="27"/>
      <c r="E564" s="27"/>
      <c r="F564" s="27"/>
      <c r="G564" s="28"/>
      <c r="H564" s="27"/>
      <c r="I564" s="29"/>
      <c r="J564" s="2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8"/>
      <c r="AR564" s="27"/>
      <c r="AS564" s="29"/>
      <c r="AT564" s="26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8"/>
      <c r="CB564" s="27"/>
      <c r="CC564" s="29"/>
      <c r="CD564" s="26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8"/>
      <c r="DL564" s="27"/>
      <c r="DM564" s="36"/>
      <c r="DN564" s="26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</row>
    <row r="565">
      <c r="A565" s="27"/>
      <c r="B565" s="27"/>
      <c r="C565" s="27"/>
      <c r="D565" s="27"/>
      <c r="E565" s="27"/>
      <c r="F565" s="27"/>
      <c r="G565" s="28"/>
      <c r="H565" s="27"/>
      <c r="I565" s="29"/>
      <c r="J565" s="2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8"/>
      <c r="AR565" s="27"/>
      <c r="AS565" s="29"/>
      <c r="AT565" s="26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8"/>
      <c r="CB565" s="27"/>
      <c r="CC565" s="29"/>
      <c r="CD565" s="26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8"/>
      <c r="DL565" s="27"/>
      <c r="DM565" s="36"/>
      <c r="DN565" s="26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</row>
    <row r="566">
      <c r="A566" s="27"/>
      <c r="B566" s="27"/>
      <c r="C566" s="27"/>
      <c r="D566" s="27"/>
      <c r="E566" s="27"/>
      <c r="F566" s="27"/>
      <c r="G566" s="28"/>
      <c r="H566" s="27"/>
      <c r="I566" s="29"/>
      <c r="J566" s="2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8"/>
      <c r="AR566" s="27"/>
      <c r="AS566" s="29"/>
      <c r="AT566" s="26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8"/>
      <c r="CB566" s="27"/>
      <c r="CC566" s="29"/>
      <c r="CD566" s="26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8"/>
      <c r="DL566" s="27"/>
      <c r="DM566" s="36"/>
      <c r="DN566" s="26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</row>
    <row r="567">
      <c r="A567" s="27"/>
      <c r="B567" s="27"/>
      <c r="C567" s="27"/>
      <c r="D567" s="27"/>
      <c r="E567" s="27"/>
      <c r="F567" s="27"/>
      <c r="G567" s="28"/>
      <c r="H567" s="27"/>
      <c r="I567" s="29"/>
      <c r="J567" s="2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8"/>
      <c r="AR567" s="27"/>
      <c r="AS567" s="29"/>
      <c r="AT567" s="26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8"/>
      <c r="CB567" s="27"/>
      <c r="CC567" s="29"/>
      <c r="CD567" s="26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8"/>
      <c r="DL567" s="27"/>
      <c r="DM567" s="36"/>
      <c r="DN567" s="26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</row>
    <row r="568">
      <c r="A568" s="27"/>
      <c r="B568" s="27"/>
      <c r="C568" s="27"/>
      <c r="D568" s="27"/>
      <c r="E568" s="27"/>
      <c r="F568" s="27"/>
      <c r="G568" s="28"/>
      <c r="H568" s="27"/>
      <c r="I568" s="29"/>
      <c r="J568" s="2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8"/>
      <c r="AR568" s="27"/>
      <c r="AS568" s="29"/>
      <c r="AT568" s="26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8"/>
      <c r="CB568" s="27"/>
      <c r="CC568" s="29"/>
      <c r="CD568" s="26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8"/>
      <c r="DL568" s="27"/>
      <c r="DM568" s="36"/>
      <c r="DN568" s="26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</row>
    <row r="569">
      <c r="A569" s="27"/>
      <c r="B569" s="27"/>
      <c r="C569" s="27"/>
      <c r="D569" s="27"/>
      <c r="E569" s="27"/>
      <c r="F569" s="27"/>
      <c r="G569" s="28"/>
      <c r="H569" s="27"/>
      <c r="I569" s="29"/>
      <c r="J569" s="2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8"/>
      <c r="AR569" s="27"/>
      <c r="AS569" s="29"/>
      <c r="AT569" s="26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8"/>
      <c r="CB569" s="27"/>
      <c r="CC569" s="29"/>
      <c r="CD569" s="26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8"/>
      <c r="DL569" s="27"/>
      <c r="DM569" s="36"/>
      <c r="DN569" s="26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</row>
    <row r="570">
      <c r="A570" s="27"/>
      <c r="B570" s="27"/>
      <c r="C570" s="27"/>
      <c r="D570" s="27"/>
      <c r="E570" s="27"/>
      <c r="F570" s="27"/>
      <c r="G570" s="28"/>
      <c r="H570" s="27"/>
      <c r="I570" s="29"/>
      <c r="J570" s="2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8"/>
      <c r="AR570" s="27"/>
      <c r="AS570" s="29"/>
      <c r="AT570" s="26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8"/>
      <c r="CB570" s="27"/>
      <c r="CC570" s="29"/>
      <c r="CD570" s="26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8"/>
      <c r="DL570" s="27"/>
      <c r="DM570" s="36"/>
      <c r="DN570" s="26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</row>
    <row r="571">
      <c r="A571" s="27"/>
      <c r="B571" s="27"/>
      <c r="C571" s="27"/>
      <c r="D571" s="27"/>
      <c r="E571" s="27"/>
      <c r="F571" s="27"/>
      <c r="G571" s="28"/>
      <c r="H571" s="27"/>
      <c r="I571" s="29"/>
      <c r="J571" s="2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8"/>
      <c r="AR571" s="27"/>
      <c r="AS571" s="29"/>
      <c r="AT571" s="26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8"/>
      <c r="CB571" s="27"/>
      <c r="CC571" s="29"/>
      <c r="CD571" s="26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8"/>
      <c r="DL571" s="27"/>
      <c r="DM571" s="36"/>
      <c r="DN571" s="26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</row>
    <row r="572">
      <c r="A572" s="27"/>
      <c r="B572" s="27"/>
      <c r="C572" s="27"/>
      <c r="D572" s="27"/>
      <c r="E572" s="27"/>
      <c r="F572" s="27"/>
      <c r="G572" s="28"/>
      <c r="H572" s="27"/>
      <c r="I572" s="29"/>
      <c r="J572" s="2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8"/>
      <c r="AR572" s="27"/>
      <c r="AS572" s="29"/>
      <c r="AT572" s="26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8"/>
      <c r="CB572" s="27"/>
      <c r="CC572" s="29"/>
      <c r="CD572" s="26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8"/>
      <c r="DL572" s="27"/>
      <c r="DM572" s="36"/>
      <c r="DN572" s="26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</row>
    <row r="573">
      <c r="A573" s="27"/>
      <c r="B573" s="27"/>
      <c r="C573" s="27"/>
      <c r="D573" s="27"/>
      <c r="E573" s="27"/>
      <c r="F573" s="27"/>
      <c r="G573" s="28"/>
      <c r="H573" s="27"/>
      <c r="I573" s="29"/>
      <c r="J573" s="2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8"/>
      <c r="AR573" s="27"/>
      <c r="AS573" s="29"/>
      <c r="AT573" s="26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8"/>
      <c r="CB573" s="27"/>
      <c r="CC573" s="29"/>
      <c r="CD573" s="26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8"/>
      <c r="DL573" s="27"/>
      <c r="DM573" s="36"/>
      <c r="DN573" s="26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</row>
    <row r="574">
      <c r="A574" s="27"/>
      <c r="B574" s="27"/>
      <c r="C574" s="27"/>
      <c r="D574" s="27"/>
      <c r="E574" s="27"/>
      <c r="F574" s="27"/>
      <c r="G574" s="28"/>
      <c r="H574" s="27"/>
      <c r="I574" s="29"/>
      <c r="J574" s="2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8"/>
      <c r="AR574" s="27"/>
      <c r="AS574" s="29"/>
      <c r="AT574" s="26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8"/>
      <c r="CB574" s="27"/>
      <c r="CC574" s="29"/>
      <c r="CD574" s="26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8"/>
      <c r="DL574" s="27"/>
      <c r="DM574" s="36"/>
      <c r="DN574" s="26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</row>
    <row r="575">
      <c r="A575" s="27"/>
      <c r="B575" s="27"/>
      <c r="C575" s="27"/>
      <c r="D575" s="27"/>
      <c r="E575" s="27"/>
      <c r="F575" s="27"/>
      <c r="G575" s="28"/>
      <c r="H575" s="27"/>
      <c r="I575" s="29"/>
      <c r="J575" s="2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8"/>
      <c r="AR575" s="27"/>
      <c r="AS575" s="29"/>
      <c r="AT575" s="26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8"/>
      <c r="CB575" s="27"/>
      <c r="CC575" s="29"/>
      <c r="CD575" s="26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8"/>
      <c r="DL575" s="27"/>
      <c r="DM575" s="36"/>
      <c r="DN575" s="26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</row>
    <row r="576">
      <c r="A576" s="27"/>
      <c r="B576" s="27"/>
      <c r="C576" s="27"/>
      <c r="D576" s="27"/>
      <c r="E576" s="27"/>
      <c r="F576" s="27"/>
      <c r="G576" s="28"/>
      <c r="H576" s="27"/>
      <c r="I576" s="29"/>
      <c r="J576" s="2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8"/>
      <c r="AR576" s="27"/>
      <c r="AS576" s="29"/>
      <c r="AT576" s="26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8"/>
      <c r="CB576" s="27"/>
      <c r="CC576" s="29"/>
      <c r="CD576" s="26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8"/>
      <c r="DL576" s="27"/>
      <c r="DM576" s="36"/>
      <c r="DN576" s="26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</row>
    <row r="577">
      <c r="A577" s="27"/>
      <c r="B577" s="27"/>
      <c r="C577" s="27"/>
      <c r="D577" s="27"/>
      <c r="E577" s="27"/>
      <c r="F577" s="27"/>
      <c r="G577" s="28"/>
      <c r="H577" s="27"/>
      <c r="I577" s="29"/>
      <c r="J577" s="2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8"/>
      <c r="AR577" s="27"/>
      <c r="AS577" s="29"/>
      <c r="AT577" s="26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8"/>
      <c r="CB577" s="27"/>
      <c r="CC577" s="29"/>
      <c r="CD577" s="26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8"/>
      <c r="DL577" s="27"/>
      <c r="DM577" s="36"/>
      <c r="DN577" s="26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</row>
    <row r="578">
      <c r="A578" s="27"/>
      <c r="B578" s="27"/>
      <c r="C578" s="27"/>
      <c r="D578" s="27"/>
      <c r="E578" s="27"/>
      <c r="F578" s="27"/>
      <c r="G578" s="28"/>
      <c r="H578" s="27"/>
      <c r="I578" s="29"/>
      <c r="J578" s="2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8"/>
      <c r="AR578" s="27"/>
      <c r="AS578" s="29"/>
      <c r="AT578" s="26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8"/>
      <c r="CB578" s="27"/>
      <c r="CC578" s="29"/>
      <c r="CD578" s="26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8"/>
      <c r="DL578" s="27"/>
      <c r="DM578" s="36"/>
      <c r="DN578" s="26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</row>
    <row r="579">
      <c r="A579" s="27"/>
      <c r="B579" s="27"/>
      <c r="C579" s="27"/>
      <c r="D579" s="27"/>
      <c r="E579" s="27"/>
      <c r="F579" s="27"/>
      <c r="G579" s="28"/>
      <c r="H579" s="27"/>
      <c r="I579" s="29"/>
      <c r="J579" s="2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8"/>
      <c r="AR579" s="27"/>
      <c r="AS579" s="29"/>
      <c r="AT579" s="26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8"/>
      <c r="CB579" s="27"/>
      <c r="CC579" s="29"/>
      <c r="CD579" s="26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8"/>
      <c r="DL579" s="27"/>
      <c r="DM579" s="36"/>
      <c r="DN579" s="26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</row>
    <row r="580">
      <c r="A580" s="27"/>
      <c r="B580" s="27"/>
      <c r="C580" s="27"/>
      <c r="D580" s="27"/>
      <c r="E580" s="27"/>
      <c r="F580" s="27"/>
      <c r="G580" s="28"/>
      <c r="H580" s="27"/>
      <c r="I580" s="29"/>
      <c r="J580" s="2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8"/>
      <c r="AR580" s="27"/>
      <c r="AS580" s="29"/>
      <c r="AT580" s="26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8"/>
      <c r="CB580" s="27"/>
      <c r="CC580" s="29"/>
      <c r="CD580" s="26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8"/>
      <c r="DL580" s="27"/>
      <c r="DM580" s="36"/>
      <c r="DN580" s="26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</row>
    <row r="581">
      <c r="A581" s="27"/>
      <c r="B581" s="27"/>
      <c r="C581" s="27"/>
      <c r="D581" s="27"/>
      <c r="E581" s="27"/>
      <c r="F581" s="27"/>
      <c r="G581" s="28"/>
      <c r="H581" s="27"/>
      <c r="I581" s="29"/>
      <c r="J581" s="2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8"/>
      <c r="AR581" s="27"/>
      <c r="AS581" s="29"/>
      <c r="AT581" s="26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8"/>
      <c r="CB581" s="27"/>
      <c r="CC581" s="29"/>
      <c r="CD581" s="26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8"/>
      <c r="DL581" s="27"/>
      <c r="DM581" s="36"/>
      <c r="DN581" s="26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</row>
    <row r="582">
      <c r="A582" s="27"/>
      <c r="B582" s="27"/>
      <c r="C582" s="27"/>
      <c r="D582" s="27"/>
      <c r="E582" s="27"/>
      <c r="F582" s="27"/>
      <c r="G582" s="28"/>
      <c r="H582" s="27"/>
      <c r="I582" s="29"/>
      <c r="J582" s="2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8"/>
      <c r="AR582" s="27"/>
      <c r="AS582" s="29"/>
      <c r="AT582" s="26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8"/>
      <c r="CB582" s="27"/>
      <c r="CC582" s="29"/>
      <c r="CD582" s="26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8"/>
      <c r="DL582" s="27"/>
      <c r="DM582" s="36"/>
      <c r="DN582" s="26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</row>
    <row r="583">
      <c r="A583" s="27"/>
      <c r="B583" s="27"/>
      <c r="C583" s="27"/>
      <c r="D583" s="27"/>
      <c r="E583" s="27"/>
      <c r="F583" s="27"/>
      <c r="G583" s="28"/>
      <c r="H583" s="27"/>
      <c r="I583" s="29"/>
      <c r="J583" s="2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8"/>
      <c r="AR583" s="27"/>
      <c r="AS583" s="29"/>
      <c r="AT583" s="26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8"/>
      <c r="CB583" s="27"/>
      <c r="CC583" s="29"/>
      <c r="CD583" s="26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8"/>
      <c r="DL583" s="27"/>
      <c r="DM583" s="36"/>
      <c r="DN583" s="26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</row>
    <row r="584">
      <c r="A584" s="27"/>
      <c r="B584" s="27"/>
      <c r="C584" s="27"/>
      <c r="D584" s="27"/>
      <c r="E584" s="27"/>
      <c r="F584" s="27"/>
      <c r="G584" s="28"/>
      <c r="H584" s="27"/>
      <c r="I584" s="29"/>
      <c r="J584" s="2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8"/>
      <c r="AR584" s="27"/>
      <c r="AS584" s="29"/>
      <c r="AT584" s="26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8"/>
      <c r="CB584" s="27"/>
      <c r="CC584" s="29"/>
      <c r="CD584" s="26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8"/>
      <c r="DL584" s="27"/>
      <c r="DM584" s="36"/>
      <c r="DN584" s="26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</row>
    <row r="585">
      <c r="A585" s="27"/>
      <c r="B585" s="27"/>
      <c r="C585" s="27"/>
      <c r="D585" s="27"/>
      <c r="E585" s="27"/>
      <c r="F585" s="27"/>
      <c r="G585" s="28"/>
      <c r="H585" s="27"/>
      <c r="I585" s="29"/>
      <c r="J585" s="2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8"/>
      <c r="AR585" s="27"/>
      <c r="AS585" s="29"/>
      <c r="AT585" s="26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8"/>
      <c r="CB585" s="27"/>
      <c r="CC585" s="29"/>
      <c r="CD585" s="26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8"/>
      <c r="DL585" s="27"/>
      <c r="DM585" s="36"/>
      <c r="DN585" s="26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</row>
    <row r="586">
      <c r="A586" s="27"/>
      <c r="B586" s="27"/>
      <c r="C586" s="27"/>
      <c r="D586" s="27"/>
      <c r="E586" s="27"/>
      <c r="F586" s="27"/>
      <c r="G586" s="28"/>
      <c r="H586" s="27"/>
      <c r="I586" s="29"/>
      <c r="J586" s="2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8"/>
      <c r="AR586" s="27"/>
      <c r="AS586" s="29"/>
      <c r="AT586" s="26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8"/>
      <c r="CB586" s="27"/>
      <c r="CC586" s="29"/>
      <c r="CD586" s="26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8"/>
      <c r="DL586" s="27"/>
      <c r="DM586" s="36"/>
      <c r="DN586" s="26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</row>
    <row r="587">
      <c r="A587" s="27"/>
      <c r="B587" s="27"/>
      <c r="C587" s="27"/>
      <c r="D587" s="27"/>
      <c r="E587" s="27"/>
      <c r="F587" s="27"/>
      <c r="G587" s="28"/>
      <c r="H587" s="27"/>
      <c r="I587" s="29"/>
      <c r="J587" s="2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8"/>
      <c r="AR587" s="27"/>
      <c r="AS587" s="29"/>
      <c r="AT587" s="26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8"/>
      <c r="CB587" s="27"/>
      <c r="CC587" s="29"/>
      <c r="CD587" s="26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8"/>
      <c r="DL587" s="27"/>
      <c r="DM587" s="36"/>
      <c r="DN587" s="26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</row>
    <row r="588">
      <c r="A588" s="27"/>
      <c r="B588" s="27"/>
      <c r="C588" s="27"/>
      <c r="D588" s="27"/>
      <c r="E588" s="27"/>
      <c r="F588" s="27"/>
      <c r="G588" s="28"/>
      <c r="H588" s="27"/>
      <c r="I588" s="29"/>
      <c r="J588" s="2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8"/>
      <c r="AR588" s="27"/>
      <c r="AS588" s="29"/>
      <c r="AT588" s="26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8"/>
      <c r="CB588" s="27"/>
      <c r="CC588" s="29"/>
      <c r="CD588" s="26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8"/>
      <c r="DL588" s="27"/>
      <c r="DM588" s="36"/>
      <c r="DN588" s="26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</row>
    <row r="589">
      <c r="A589" s="27"/>
      <c r="B589" s="27"/>
      <c r="C589" s="27"/>
      <c r="D589" s="27"/>
      <c r="E589" s="27"/>
      <c r="F589" s="27"/>
      <c r="G589" s="28"/>
      <c r="H589" s="27"/>
      <c r="I589" s="29"/>
      <c r="J589" s="2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8"/>
      <c r="AR589" s="27"/>
      <c r="AS589" s="29"/>
      <c r="AT589" s="26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8"/>
      <c r="CB589" s="27"/>
      <c r="CC589" s="29"/>
      <c r="CD589" s="26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8"/>
      <c r="DL589" s="27"/>
      <c r="DM589" s="36"/>
      <c r="DN589" s="26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</row>
    <row r="590">
      <c r="A590" s="27"/>
      <c r="B590" s="27"/>
      <c r="C590" s="27"/>
      <c r="D590" s="27"/>
      <c r="E590" s="27"/>
      <c r="F590" s="27"/>
      <c r="G590" s="28"/>
      <c r="H590" s="27"/>
      <c r="I590" s="29"/>
      <c r="J590" s="2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8"/>
      <c r="AR590" s="27"/>
      <c r="AS590" s="29"/>
      <c r="AT590" s="26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8"/>
      <c r="CB590" s="27"/>
      <c r="CC590" s="29"/>
      <c r="CD590" s="26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8"/>
      <c r="DL590" s="27"/>
      <c r="DM590" s="36"/>
      <c r="DN590" s="26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</row>
    <row r="591">
      <c r="A591" s="27"/>
      <c r="B591" s="27"/>
      <c r="C591" s="27"/>
      <c r="D591" s="27"/>
      <c r="E591" s="27"/>
      <c r="F591" s="27"/>
      <c r="G591" s="28"/>
      <c r="H591" s="27"/>
      <c r="I591" s="29"/>
      <c r="J591" s="2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8"/>
      <c r="AR591" s="27"/>
      <c r="AS591" s="29"/>
      <c r="AT591" s="26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8"/>
      <c r="CB591" s="27"/>
      <c r="CC591" s="29"/>
      <c r="CD591" s="26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8"/>
      <c r="DL591" s="27"/>
      <c r="DM591" s="36"/>
      <c r="DN591" s="26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</row>
    <row r="592">
      <c r="A592" s="27"/>
      <c r="B592" s="27"/>
      <c r="C592" s="27"/>
      <c r="D592" s="27"/>
      <c r="E592" s="27"/>
      <c r="F592" s="27"/>
      <c r="G592" s="28"/>
      <c r="H592" s="27"/>
      <c r="I592" s="29"/>
      <c r="J592" s="2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8"/>
      <c r="AR592" s="27"/>
      <c r="AS592" s="29"/>
      <c r="AT592" s="26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8"/>
      <c r="CB592" s="27"/>
      <c r="CC592" s="29"/>
      <c r="CD592" s="26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8"/>
      <c r="DL592" s="27"/>
      <c r="DM592" s="36"/>
      <c r="DN592" s="26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</row>
    <row r="593">
      <c r="A593" s="27"/>
      <c r="B593" s="27"/>
      <c r="C593" s="27"/>
      <c r="D593" s="27"/>
      <c r="E593" s="27"/>
      <c r="F593" s="27"/>
      <c r="G593" s="28"/>
      <c r="H593" s="27"/>
      <c r="I593" s="29"/>
      <c r="J593" s="2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8"/>
      <c r="AR593" s="27"/>
      <c r="AS593" s="29"/>
      <c r="AT593" s="26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8"/>
      <c r="CB593" s="27"/>
      <c r="CC593" s="29"/>
      <c r="CD593" s="26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8"/>
      <c r="DL593" s="27"/>
      <c r="DM593" s="36"/>
      <c r="DN593" s="26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</row>
    <row r="594">
      <c r="A594" s="27"/>
      <c r="B594" s="27"/>
      <c r="C594" s="27"/>
      <c r="D594" s="27"/>
      <c r="E594" s="27"/>
      <c r="F594" s="27"/>
      <c r="G594" s="28"/>
      <c r="H594" s="27"/>
      <c r="I594" s="29"/>
      <c r="J594" s="2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8"/>
      <c r="AR594" s="27"/>
      <c r="AS594" s="29"/>
      <c r="AT594" s="26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8"/>
      <c r="CB594" s="27"/>
      <c r="CC594" s="29"/>
      <c r="CD594" s="26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8"/>
      <c r="DL594" s="27"/>
      <c r="DM594" s="36"/>
      <c r="DN594" s="26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</row>
    <row r="595">
      <c r="A595" s="27"/>
      <c r="B595" s="27"/>
      <c r="C595" s="27"/>
      <c r="D595" s="27"/>
      <c r="E595" s="27"/>
      <c r="F595" s="27"/>
      <c r="G595" s="28"/>
      <c r="H595" s="27"/>
      <c r="I595" s="29"/>
      <c r="J595" s="2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8"/>
      <c r="AR595" s="27"/>
      <c r="AS595" s="29"/>
      <c r="AT595" s="26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8"/>
      <c r="CB595" s="27"/>
      <c r="CC595" s="29"/>
      <c r="CD595" s="26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8"/>
      <c r="DL595" s="27"/>
      <c r="DM595" s="36"/>
      <c r="DN595" s="26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</row>
    <row r="596">
      <c r="A596" s="27"/>
      <c r="B596" s="27"/>
      <c r="C596" s="27"/>
      <c r="D596" s="27"/>
      <c r="E596" s="27"/>
      <c r="F596" s="27"/>
      <c r="G596" s="28"/>
      <c r="H596" s="27"/>
      <c r="I596" s="29"/>
      <c r="J596" s="2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8"/>
      <c r="AR596" s="27"/>
      <c r="AS596" s="29"/>
      <c r="AT596" s="26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8"/>
      <c r="CB596" s="27"/>
      <c r="CC596" s="29"/>
      <c r="CD596" s="26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8"/>
      <c r="DL596" s="27"/>
      <c r="DM596" s="36"/>
      <c r="DN596" s="26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</row>
    <row r="597">
      <c r="A597" s="27"/>
      <c r="B597" s="27"/>
      <c r="C597" s="27"/>
      <c r="D597" s="27"/>
      <c r="E597" s="27"/>
      <c r="F597" s="27"/>
      <c r="G597" s="28"/>
      <c r="H597" s="27"/>
      <c r="I597" s="29"/>
      <c r="J597" s="2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8"/>
      <c r="AR597" s="27"/>
      <c r="AS597" s="29"/>
      <c r="AT597" s="26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8"/>
      <c r="CB597" s="27"/>
      <c r="CC597" s="29"/>
      <c r="CD597" s="26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8"/>
      <c r="DL597" s="27"/>
      <c r="DM597" s="36"/>
      <c r="DN597" s="26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</row>
    <row r="598">
      <c r="A598" s="27"/>
      <c r="B598" s="27"/>
      <c r="C598" s="27"/>
      <c r="D598" s="27"/>
      <c r="E598" s="27"/>
      <c r="F598" s="27"/>
      <c r="G598" s="28"/>
      <c r="H598" s="27"/>
      <c r="I598" s="29"/>
      <c r="J598" s="2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8"/>
      <c r="AR598" s="27"/>
      <c r="AS598" s="29"/>
      <c r="AT598" s="26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8"/>
      <c r="CB598" s="27"/>
      <c r="CC598" s="29"/>
      <c r="CD598" s="26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8"/>
      <c r="DL598" s="27"/>
      <c r="DM598" s="36"/>
      <c r="DN598" s="26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</row>
    <row r="599">
      <c r="A599" s="27"/>
      <c r="B599" s="27"/>
      <c r="C599" s="27"/>
      <c r="D599" s="27"/>
      <c r="E599" s="27"/>
      <c r="F599" s="27"/>
      <c r="G599" s="28"/>
      <c r="H599" s="27"/>
      <c r="I599" s="29"/>
      <c r="J599" s="2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8"/>
      <c r="AR599" s="27"/>
      <c r="AS599" s="29"/>
      <c r="AT599" s="26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8"/>
      <c r="CB599" s="27"/>
      <c r="CC599" s="29"/>
      <c r="CD599" s="26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8"/>
      <c r="DL599" s="27"/>
      <c r="DM599" s="36"/>
      <c r="DN599" s="26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</row>
    <row r="600">
      <c r="A600" s="27"/>
      <c r="B600" s="27"/>
      <c r="C600" s="27"/>
      <c r="D600" s="27"/>
      <c r="E600" s="27"/>
      <c r="F600" s="27"/>
      <c r="G600" s="28"/>
      <c r="H600" s="27"/>
      <c r="I600" s="29"/>
      <c r="J600" s="2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8"/>
      <c r="AR600" s="27"/>
      <c r="AS600" s="29"/>
      <c r="AT600" s="26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8"/>
      <c r="CB600" s="27"/>
      <c r="CC600" s="29"/>
      <c r="CD600" s="26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8"/>
      <c r="DL600" s="27"/>
      <c r="DM600" s="36"/>
      <c r="DN600" s="26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</row>
    <row r="601">
      <c r="A601" s="27"/>
      <c r="B601" s="27"/>
      <c r="C601" s="27"/>
      <c r="D601" s="27"/>
      <c r="E601" s="27"/>
      <c r="F601" s="27"/>
      <c r="G601" s="28"/>
      <c r="H601" s="27"/>
      <c r="I601" s="29"/>
      <c r="J601" s="2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8"/>
      <c r="AR601" s="27"/>
      <c r="AS601" s="29"/>
      <c r="AT601" s="26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8"/>
      <c r="CB601" s="27"/>
      <c r="CC601" s="29"/>
      <c r="CD601" s="26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8"/>
      <c r="DL601" s="27"/>
      <c r="DM601" s="36"/>
      <c r="DN601" s="26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</row>
    <row r="602">
      <c r="A602" s="27"/>
      <c r="B602" s="27"/>
      <c r="C602" s="27"/>
      <c r="D602" s="27"/>
      <c r="E602" s="27"/>
      <c r="F602" s="27"/>
      <c r="G602" s="28"/>
      <c r="H602" s="27"/>
      <c r="I602" s="29"/>
      <c r="J602" s="2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8"/>
      <c r="AR602" s="27"/>
      <c r="AS602" s="29"/>
      <c r="AT602" s="26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8"/>
      <c r="CB602" s="27"/>
      <c r="CC602" s="29"/>
      <c r="CD602" s="26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8"/>
      <c r="DL602" s="27"/>
      <c r="DM602" s="36"/>
      <c r="DN602" s="26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</row>
    <row r="603">
      <c r="A603" s="27"/>
      <c r="B603" s="27"/>
      <c r="C603" s="27"/>
      <c r="D603" s="27"/>
      <c r="E603" s="27"/>
      <c r="F603" s="27"/>
      <c r="G603" s="28"/>
      <c r="H603" s="27"/>
      <c r="I603" s="29"/>
      <c r="J603" s="2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8"/>
      <c r="AR603" s="27"/>
      <c r="AS603" s="29"/>
      <c r="AT603" s="26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8"/>
      <c r="CB603" s="27"/>
      <c r="CC603" s="29"/>
      <c r="CD603" s="26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8"/>
      <c r="DL603" s="27"/>
      <c r="DM603" s="36"/>
      <c r="DN603" s="26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</row>
    <row r="604">
      <c r="A604" s="27"/>
      <c r="B604" s="27"/>
      <c r="C604" s="27"/>
      <c r="D604" s="27"/>
      <c r="E604" s="27"/>
      <c r="F604" s="27"/>
      <c r="G604" s="28"/>
      <c r="H604" s="27"/>
      <c r="I604" s="29"/>
      <c r="J604" s="2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8"/>
      <c r="AR604" s="27"/>
      <c r="AS604" s="29"/>
      <c r="AT604" s="26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8"/>
      <c r="CB604" s="27"/>
      <c r="CC604" s="29"/>
      <c r="CD604" s="26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8"/>
      <c r="DL604" s="27"/>
      <c r="DM604" s="36"/>
      <c r="DN604" s="26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</row>
    <row r="605">
      <c r="A605" s="27"/>
      <c r="B605" s="27"/>
      <c r="C605" s="27"/>
      <c r="D605" s="27"/>
      <c r="E605" s="27"/>
      <c r="F605" s="27"/>
      <c r="G605" s="28"/>
      <c r="H605" s="27"/>
      <c r="I605" s="29"/>
      <c r="J605" s="2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8"/>
      <c r="AR605" s="27"/>
      <c r="AS605" s="29"/>
      <c r="AT605" s="26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8"/>
      <c r="CB605" s="27"/>
      <c r="CC605" s="29"/>
      <c r="CD605" s="26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8"/>
      <c r="DL605" s="27"/>
      <c r="DM605" s="36"/>
      <c r="DN605" s="26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</row>
    <row r="606">
      <c r="A606" s="27"/>
      <c r="B606" s="27"/>
      <c r="C606" s="27"/>
      <c r="D606" s="27"/>
      <c r="E606" s="27"/>
      <c r="F606" s="27"/>
      <c r="G606" s="28"/>
      <c r="H606" s="27"/>
      <c r="I606" s="29"/>
      <c r="J606" s="2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8"/>
      <c r="AR606" s="27"/>
      <c r="AS606" s="29"/>
      <c r="AT606" s="26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8"/>
      <c r="CB606" s="27"/>
      <c r="CC606" s="29"/>
      <c r="CD606" s="26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8"/>
      <c r="DL606" s="27"/>
      <c r="DM606" s="36"/>
      <c r="DN606" s="26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</row>
    <row r="607">
      <c r="A607" s="27"/>
      <c r="B607" s="27"/>
      <c r="C607" s="27"/>
      <c r="D607" s="27"/>
      <c r="E607" s="27"/>
      <c r="F607" s="27"/>
      <c r="G607" s="28"/>
      <c r="H607" s="27"/>
      <c r="I607" s="29"/>
      <c r="J607" s="2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8"/>
      <c r="AR607" s="27"/>
      <c r="AS607" s="29"/>
      <c r="AT607" s="26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8"/>
      <c r="CB607" s="27"/>
      <c r="CC607" s="29"/>
      <c r="CD607" s="26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8"/>
      <c r="DL607" s="27"/>
      <c r="DM607" s="36"/>
      <c r="DN607" s="26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</row>
    <row r="608">
      <c r="A608" s="27"/>
      <c r="B608" s="27"/>
      <c r="C608" s="27"/>
      <c r="D608" s="27"/>
      <c r="E608" s="27"/>
      <c r="F608" s="27"/>
      <c r="G608" s="28"/>
      <c r="H608" s="27"/>
      <c r="I608" s="29"/>
      <c r="J608" s="2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8"/>
      <c r="AR608" s="27"/>
      <c r="AS608" s="29"/>
      <c r="AT608" s="26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8"/>
      <c r="CB608" s="27"/>
      <c r="CC608" s="29"/>
      <c r="CD608" s="26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8"/>
      <c r="DL608" s="27"/>
      <c r="DM608" s="36"/>
      <c r="DN608" s="26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</row>
    <row r="609">
      <c r="A609" s="27"/>
      <c r="B609" s="27"/>
      <c r="C609" s="27"/>
      <c r="D609" s="27"/>
      <c r="E609" s="27"/>
      <c r="F609" s="27"/>
      <c r="G609" s="28"/>
      <c r="H609" s="27"/>
      <c r="I609" s="29"/>
      <c r="J609" s="2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8"/>
      <c r="AR609" s="27"/>
      <c r="AS609" s="29"/>
      <c r="AT609" s="26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8"/>
      <c r="CB609" s="27"/>
      <c r="CC609" s="29"/>
      <c r="CD609" s="26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8"/>
      <c r="DL609" s="27"/>
      <c r="DM609" s="36"/>
      <c r="DN609" s="26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</row>
    <row r="610">
      <c r="A610" s="27"/>
      <c r="B610" s="27"/>
      <c r="C610" s="27"/>
      <c r="D610" s="27"/>
      <c r="E610" s="27"/>
      <c r="F610" s="27"/>
      <c r="G610" s="28"/>
      <c r="H610" s="27"/>
      <c r="I610" s="29"/>
      <c r="J610" s="2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8"/>
      <c r="AR610" s="27"/>
      <c r="AS610" s="29"/>
      <c r="AT610" s="26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8"/>
      <c r="CB610" s="27"/>
      <c r="CC610" s="29"/>
      <c r="CD610" s="26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8"/>
      <c r="DL610" s="27"/>
      <c r="DM610" s="36"/>
      <c r="DN610" s="26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</row>
    <row r="611">
      <c r="A611" s="27"/>
      <c r="B611" s="27"/>
      <c r="C611" s="27"/>
      <c r="D611" s="27"/>
      <c r="E611" s="27"/>
      <c r="F611" s="27"/>
      <c r="G611" s="28"/>
      <c r="H611" s="27"/>
      <c r="I611" s="29"/>
      <c r="J611" s="2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8"/>
      <c r="AR611" s="27"/>
      <c r="AS611" s="29"/>
      <c r="AT611" s="26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8"/>
      <c r="CB611" s="27"/>
      <c r="CC611" s="29"/>
      <c r="CD611" s="26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8"/>
      <c r="DL611" s="27"/>
      <c r="DM611" s="36"/>
      <c r="DN611" s="26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</row>
    <row r="612">
      <c r="A612" s="27"/>
      <c r="B612" s="27"/>
      <c r="C612" s="27"/>
      <c r="D612" s="27"/>
      <c r="E612" s="27"/>
      <c r="F612" s="27"/>
      <c r="G612" s="28"/>
      <c r="H612" s="27"/>
      <c r="I612" s="29"/>
      <c r="J612" s="2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8"/>
      <c r="AR612" s="27"/>
      <c r="AS612" s="29"/>
      <c r="AT612" s="26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8"/>
      <c r="CB612" s="27"/>
      <c r="CC612" s="29"/>
      <c r="CD612" s="26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8"/>
      <c r="DL612" s="27"/>
      <c r="DM612" s="36"/>
      <c r="DN612" s="26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</row>
    <row r="613">
      <c r="A613" s="27"/>
      <c r="B613" s="27"/>
      <c r="C613" s="27"/>
      <c r="D613" s="27"/>
      <c r="E613" s="27"/>
      <c r="F613" s="27"/>
      <c r="G613" s="28"/>
      <c r="H613" s="27"/>
      <c r="I613" s="29"/>
      <c r="J613" s="2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8"/>
      <c r="AR613" s="27"/>
      <c r="AS613" s="29"/>
      <c r="AT613" s="26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8"/>
      <c r="CB613" s="27"/>
      <c r="CC613" s="29"/>
      <c r="CD613" s="26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8"/>
      <c r="DL613" s="27"/>
      <c r="DM613" s="36"/>
      <c r="DN613" s="26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</row>
    <row r="614">
      <c r="A614" s="27"/>
      <c r="B614" s="27"/>
      <c r="C614" s="27"/>
      <c r="D614" s="27"/>
      <c r="E614" s="27"/>
      <c r="F614" s="27"/>
      <c r="G614" s="28"/>
      <c r="H614" s="27"/>
      <c r="I614" s="29"/>
      <c r="J614" s="2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8"/>
      <c r="AR614" s="27"/>
      <c r="AS614" s="29"/>
      <c r="AT614" s="26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8"/>
      <c r="CB614" s="27"/>
      <c r="CC614" s="29"/>
      <c r="CD614" s="26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8"/>
      <c r="DL614" s="27"/>
      <c r="DM614" s="36"/>
      <c r="DN614" s="26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</row>
    <row r="615">
      <c r="A615" s="27"/>
      <c r="B615" s="27"/>
      <c r="C615" s="27"/>
      <c r="D615" s="27"/>
      <c r="E615" s="27"/>
      <c r="F615" s="27"/>
      <c r="G615" s="28"/>
      <c r="H615" s="27"/>
      <c r="I615" s="29"/>
      <c r="J615" s="2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8"/>
      <c r="AR615" s="27"/>
      <c r="AS615" s="29"/>
      <c r="AT615" s="26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8"/>
      <c r="CB615" s="27"/>
      <c r="CC615" s="29"/>
      <c r="CD615" s="26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8"/>
      <c r="DL615" s="27"/>
      <c r="DM615" s="36"/>
      <c r="DN615" s="26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</row>
    <row r="616">
      <c r="A616" s="27"/>
      <c r="B616" s="27"/>
      <c r="C616" s="27"/>
      <c r="D616" s="27"/>
      <c r="E616" s="27"/>
      <c r="F616" s="27"/>
      <c r="G616" s="28"/>
      <c r="H616" s="27"/>
      <c r="I616" s="29"/>
      <c r="J616" s="2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8"/>
      <c r="AR616" s="27"/>
      <c r="AS616" s="29"/>
      <c r="AT616" s="26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8"/>
      <c r="CB616" s="27"/>
      <c r="CC616" s="29"/>
      <c r="CD616" s="26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8"/>
      <c r="DL616" s="27"/>
      <c r="DM616" s="36"/>
      <c r="DN616" s="26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</row>
    <row r="617">
      <c r="A617" s="27"/>
      <c r="B617" s="27"/>
      <c r="C617" s="27"/>
      <c r="D617" s="27"/>
      <c r="E617" s="27"/>
      <c r="F617" s="27"/>
      <c r="G617" s="28"/>
      <c r="H617" s="27"/>
      <c r="I617" s="29"/>
      <c r="J617" s="2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8"/>
      <c r="AR617" s="27"/>
      <c r="AS617" s="29"/>
      <c r="AT617" s="26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8"/>
      <c r="CB617" s="27"/>
      <c r="CC617" s="29"/>
      <c r="CD617" s="26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8"/>
      <c r="DL617" s="27"/>
      <c r="DM617" s="36"/>
      <c r="DN617" s="26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</row>
    <row r="618">
      <c r="A618" s="27"/>
      <c r="B618" s="27"/>
      <c r="C618" s="27"/>
      <c r="D618" s="27"/>
      <c r="E618" s="27"/>
      <c r="F618" s="27"/>
      <c r="G618" s="28"/>
      <c r="H618" s="27"/>
      <c r="I618" s="29"/>
      <c r="J618" s="2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8"/>
      <c r="AR618" s="27"/>
      <c r="AS618" s="29"/>
      <c r="AT618" s="26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8"/>
      <c r="CB618" s="27"/>
      <c r="CC618" s="29"/>
      <c r="CD618" s="26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8"/>
      <c r="DL618" s="27"/>
      <c r="DM618" s="36"/>
      <c r="DN618" s="26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</row>
    <row r="619">
      <c r="A619" s="27"/>
      <c r="B619" s="27"/>
      <c r="C619" s="27"/>
      <c r="D619" s="27"/>
      <c r="E619" s="27"/>
      <c r="F619" s="27"/>
      <c r="G619" s="28"/>
      <c r="H619" s="27"/>
      <c r="I619" s="29"/>
      <c r="J619" s="2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8"/>
      <c r="AR619" s="27"/>
      <c r="AS619" s="29"/>
      <c r="AT619" s="26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8"/>
      <c r="CB619" s="27"/>
      <c r="CC619" s="29"/>
      <c r="CD619" s="26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8"/>
      <c r="DL619" s="27"/>
      <c r="DM619" s="36"/>
      <c r="DN619" s="26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</row>
    <row r="620">
      <c r="A620" s="27"/>
      <c r="B620" s="27"/>
      <c r="C620" s="27"/>
      <c r="D620" s="27"/>
      <c r="E620" s="27"/>
      <c r="F620" s="27"/>
      <c r="G620" s="28"/>
      <c r="H620" s="27"/>
      <c r="I620" s="29"/>
      <c r="J620" s="2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8"/>
      <c r="AR620" s="27"/>
      <c r="AS620" s="29"/>
      <c r="AT620" s="26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8"/>
      <c r="CB620" s="27"/>
      <c r="CC620" s="29"/>
      <c r="CD620" s="26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8"/>
      <c r="DL620" s="27"/>
      <c r="DM620" s="36"/>
      <c r="DN620" s="26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</row>
    <row r="621">
      <c r="A621" s="27"/>
      <c r="B621" s="27"/>
      <c r="C621" s="27"/>
      <c r="D621" s="27"/>
      <c r="E621" s="27"/>
      <c r="F621" s="27"/>
      <c r="G621" s="28"/>
      <c r="H621" s="27"/>
      <c r="I621" s="29"/>
      <c r="J621" s="2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8"/>
      <c r="AR621" s="27"/>
      <c r="AS621" s="29"/>
      <c r="AT621" s="26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8"/>
      <c r="CB621" s="27"/>
      <c r="CC621" s="29"/>
      <c r="CD621" s="26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8"/>
      <c r="DL621" s="27"/>
      <c r="DM621" s="36"/>
      <c r="DN621" s="26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</row>
    <row r="622">
      <c r="A622" s="27"/>
      <c r="B622" s="27"/>
      <c r="C622" s="27"/>
      <c r="D622" s="27"/>
      <c r="E622" s="27"/>
      <c r="F622" s="27"/>
      <c r="G622" s="28"/>
      <c r="H622" s="27"/>
      <c r="I622" s="29"/>
      <c r="J622" s="2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8"/>
      <c r="AR622" s="27"/>
      <c r="AS622" s="29"/>
      <c r="AT622" s="26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8"/>
      <c r="CB622" s="27"/>
      <c r="CC622" s="29"/>
      <c r="CD622" s="26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8"/>
      <c r="DL622" s="27"/>
      <c r="DM622" s="36"/>
      <c r="DN622" s="26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</row>
    <row r="623">
      <c r="A623" s="27"/>
      <c r="B623" s="27"/>
      <c r="C623" s="27"/>
      <c r="D623" s="27"/>
      <c r="E623" s="27"/>
      <c r="F623" s="27"/>
      <c r="G623" s="28"/>
      <c r="H623" s="27"/>
      <c r="I623" s="29"/>
      <c r="J623" s="2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8"/>
      <c r="AR623" s="27"/>
      <c r="AS623" s="29"/>
      <c r="AT623" s="26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8"/>
      <c r="CB623" s="27"/>
      <c r="CC623" s="29"/>
      <c r="CD623" s="26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8"/>
      <c r="DL623" s="27"/>
      <c r="DM623" s="36"/>
      <c r="DN623" s="26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</row>
    <row r="624">
      <c r="A624" s="27"/>
      <c r="B624" s="27"/>
      <c r="C624" s="27"/>
      <c r="D624" s="27"/>
      <c r="E624" s="27"/>
      <c r="F624" s="27"/>
      <c r="G624" s="28"/>
      <c r="H624" s="27"/>
      <c r="I624" s="29"/>
      <c r="J624" s="2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8"/>
      <c r="AR624" s="27"/>
      <c r="AS624" s="29"/>
      <c r="AT624" s="26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8"/>
      <c r="CB624" s="27"/>
      <c r="CC624" s="29"/>
      <c r="CD624" s="26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8"/>
      <c r="DL624" s="27"/>
      <c r="DM624" s="36"/>
      <c r="DN624" s="26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</row>
    <row r="625">
      <c r="A625" s="27"/>
      <c r="B625" s="27"/>
      <c r="C625" s="27"/>
      <c r="D625" s="27"/>
      <c r="E625" s="27"/>
      <c r="F625" s="27"/>
      <c r="G625" s="28"/>
      <c r="H625" s="27"/>
      <c r="I625" s="29"/>
      <c r="J625" s="2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8"/>
      <c r="AR625" s="27"/>
      <c r="AS625" s="29"/>
      <c r="AT625" s="26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8"/>
      <c r="CB625" s="27"/>
      <c r="CC625" s="29"/>
      <c r="CD625" s="26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8"/>
      <c r="DL625" s="27"/>
      <c r="DM625" s="36"/>
      <c r="DN625" s="26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</row>
    <row r="626">
      <c r="A626" s="27"/>
      <c r="B626" s="27"/>
      <c r="C626" s="27"/>
      <c r="D626" s="27"/>
      <c r="E626" s="27"/>
      <c r="F626" s="27"/>
      <c r="G626" s="28"/>
      <c r="H626" s="27"/>
      <c r="I626" s="29"/>
      <c r="J626" s="2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8"/>
      <c r="AR626" s="27"/>
      <c r="AS626" s="29"/>
      <c r="AT626" s="26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8"/>
      <c r="CB626" s="27"/>
      <c r="CC626" s="29"/>
      <c r="CD626" s="26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8"/>
      <c r="DL626" s="27"/>
      <c r="DM626" s="36"/>
      <c r="DN626" s="26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</row>
    <row r="627">
      <c r="A627" s="27"/>
      <c r="B627" s="27"/>
      <c r="C627" s="27"/>
      <c r="D627" s="27"/>
      <c r="E627" s="27"/>
      <c r="F627" s="27"/>
      <c r="G627" s="28"/>
      <c r="H627" s="27"/>
      <c r="I627" s="29"/>
      <c r="J627" s="2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8"/>
      <c r="AR627" s="27"/>
      <c r="AS627" s="29"/>
      <c r="AT627" s="26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8"/>
      <c r="CB627" s="27"/>
      <c r="CC627" s="29"/>
      <c r="CD627" s="26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8"/>
      <c r="DL627" s="27"/>
      <c r="DM627" s="36"/>
      <c r="DN627" s="26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</row>
    <row r="628">
      <c r="A628" s="27"/>
      <c r="B628" s="27"/>
      <c r="C628" s="27"/>
      <c r="D628" s="27"/>
      <c r="E628" s="27"/>
      <c r="F628" s="27"/>
      <c r="G628" s="28"/>
      <c r="H628" s="27"/>
      <c r="I628" s="29"/>
      <c r="J628" s="2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8"/>
      <c r="AR628" s="27"/>
      <c r="AS628" s="29"/>
      <c r="AT628" s="26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8"/>
      <c r="CB628" s="27"/>
      <c r="CC628" s="29"/>
      <c r="CD628" s="26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8"/>
      <c r="DL628" s="27"/>
      <c r="DM628" s="36"/>
      <c r="DN628" s="26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</row>
    <row r="629">
      <c r="A629" s="27"/>
      <c r="B629" s="27"/>
      <c r="C629" s="27"/>
      <c r="D629" s="27"/>
      <c r="E629" s="27"/>
      <c r="F629" s="27"/>
      <c r="G629" s="28"/>
      <c r="H629" s="27"/>
      <c r="I629" s="29"/>
      <c r="J629" s="2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8"/>
      <c r="AR629" s="27"/>
      <c r="AS629" s="29"/>
      <c r="AT629" s="26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8"/>
      <c r="CB629" s="27"/>
      <c r="CC629" s="29"/>
      <c r="CD629" s="26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8"/>
      <c r="DL629" s="27"/>
      <c r="DM629" s="36"/>
      <c r="DN629" s="26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</row>
    <row r="630">
      <c r="A630" s="27"/>
      <c r="B630" s="27"/>
      <c r="C630" s="27"/>
      <c r="D630" s="27"/>
      <c r="E630" s="27"/>
      <c r="F630" s="27"/>
      <c r="G630" s="28"/>
      <c r="H630" s="27"/>
      <c r="I630" s="29"/>
      <c r="J630" s="2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8"/>
      <c r="AR630" s="27"/>
      <c r="AS630" s="29"/>
      <c r="AT630" s="26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8"/>
      <c r="CB630" s="27"/>
      <c r="CC630" s="29"/>
      <c r="CD630" s="26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8"/>
      <c r="DL630" s="27"/>
      <c r="DM630" s="36"/>
      <c r="DN630" s="26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</row>
    <row r="631">
      <c r="A631" s="27"/>
      <c r="B631" s="27"/>
      <c r="C631" s="27"/>
      <c r="D631" s="27"/>
      <c r="E631" s="27"/>
      <c r="F631" s="27"/>
      <c r="G631" s="28"/>
      <c r="H631" s="27"/>
      <c r="I631" s="29"/>
      <c r="J631" s="2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8"/>
      <c r="AR631" s="27"/>
      <c r="AS631" s="29"/>
      <c r="AT631" s="26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8"/>
      <c r="CB631" s="27"/>
      <c r="CC631" s="29"/>
      <c r="CD631" s="26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8"/>
      <c r="DL631" s="27"/>
      <c r="DM631" s="36"/>
      <c r="DN631" s="26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</row>
    <row r="632">
      <c r="A632" s="27"/>
      <c r="B632" s="27"/>
      <c r="C632" s="27"/>
      <c r="D632" s="27"/>
      <c r="E632" s="27"/>
      <c r="F632" s="27"/>
      <c r="G632" s="28"/>
      <c r="H632" s="27"/>
      <c r="I632" s="29"/>
      <c r="J632" s="2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8"/>
      <c r="AR632" s="27"/>
      <c r="AS632" s="29"/>
      <c r="AT632" s="26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8"/>
      <c r="CB632" s="27"/>
      <c r="CC632" s="29"/>
      <c r="CD632" s="26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8"/>
      <c r="DL632" s="27"/>
      <c r="DM632" s="36"/>
      <c r="DN632" s="26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</row>
    <row r="633">
      <c r="A633" s="27"/>
      <c r="B633" s="27"/>
      <c r="C633" s="27"/>
      <c r="D633" s="27"/>
      <c r="E633" s="27"/>
      <c r="F633" s="27"/>
      <c r="G633" s="28"/>
      <c r="H633" s="27"/>
      <c r="I633" s="29"/>
      <c r="J633" s="2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8"/>
      <c r="AR633" s="27"/>
      <c r="AS633" s="29"/>
      <c r="AT633" s="26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8"/>
      <c r="CB633" s="27"/>
      <c r="CC633" s="29"/>
      <c r="CD633" s="26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8"/>
      <c r="DL633" s="27"/>
      <c r="DM633" s="36"/>
      <c r="DN633" s="26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</row>
    <row r="634">
      <c r="A634" s="27"/>
      <c r="B634" s="27"/>
      <c r="C634" s="27"/>
      <c r="D634" s="27"/>
      <c r="E634" s="27"/>
      <c r="F634" s="27"/>
      <c r="G634" s="28"/>
      <c r="H634" s="27"/>
      <c r="I634" s="29"/>
      <c r="J634" s="2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8"/>
      <c r="AR634" s="27"/>
      <c r="AS634" s="29"/>
      <c r="AT634" s="26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8"/>
      <c r="CB634" s="27"/>
      <c r="CC634" s="29"/>
      <c r="CD634" s="26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8"/>
      <c r="DL634" s="27"/>
      <c r="DM634" s="36"/>
      <c r="DN634" s="26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</row>
    <row r="635">
      <c r="A635" s="27"/>
      <c r="B635" s="27"/>
      <c r="C635" s="27"/>
      <c r="D635" s="27"/>
      <c r="E635" s="27"/>
      <c r="F635" s="27"/>
      <c r="G635" s="28"/>
      <c r="H635" s="27"/>
      <c r="I635" s="29"/>
      <c r="J635" s="2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8"/>
      <c r="AR635" s="27"/>
      <c r="AS635" s="29"/>
      <c r="AT635" s="26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8"/>
      <c r="CB635" s="27"/>
      <c r="CC635" s="29"/>
      <c r="CD635" s="26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8"/>
      <c r="DL635" s="27"/>
      <c r="DM635" s="36"/>
      <c r="DN635" s="26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</row>
    <row r="636">
      <c r="A636" s="27"/>
      <c r="B636" s="27"/>
      <c r="C636" s="27"/>
      <c r="D636" s="27"/>
      <c r="E636" s="27"/>
      <c r="F636" s="27"/>
      <c r="G636" s="28"/>
      <c r="H636" s="27"/>
      <c r="I636" s="29"/>
      <c r="J636" s="2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8"/>
      <c r="AR636" s="27"/>
      <c r="AS636" s="29"/>
      <c r="AT636" s="26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8"/>
      <c r="CB636" s="27"/>
      <c r="CC636" s="29"/>
      <c r="CD636" s="26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8"/>
      <c r="DL636" s="27"/>
      <c r="DM636" s="36"/>
      <c r="DN636" s="26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</row>
    <row r="637">
      <c r="A637" s="27"/>
      <c r="B637" s="27"/>
      <c r="C637" s="27"/>
      <c r="D637" s="27"/>
      <c r="E637" s="27"/>
      <c r="F637" s="27"/>
      <c r="G637" s="28"/>
      <c r="H637" s="27"/>
      <c r="I637" s="29"/>
      <c r="J637" s="2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8"/>
      <c r="AR637" s="27"/>
      <c r="AS637" s="29"/>
      <c r="AT637" s="26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8"/>
      <c r="CB637" s="27"/>
      <c r="CC637" s="29"/>
      <c r="CD637" s="26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8"/>
      <c r="DL637" s="27"/>
      <c r="DM637" s="36"/>
      <c r="DN637" s="26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</row>
    <row r="638">
      <c r="A638" s="27"/>
      <c r="B638" s="27"/>
      <c r="C638" s="27"/>
      <c r="D638" s="27"/>
      <c r="E638" s="27"/>
      <c r="F638" s="27"/>
      <c r="G638" s="28"/>
      <c r="H638" s="27"/>
      <c r="I638" s="29"/>
      <c r="J638" s="2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8"/>
      <c r="AR638" s="27"/>
      <c r="AS638" s="29"/>
      <c r="AT638" s="26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8"/>
      <c r="CB638" s="27"/>
      <c r="CC638" s="29"/>
      <c r="CD638" s="26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8"/>
      <c r="DL638" s="27"/>
      <c r="DM638" s="36"/>
      <c r="DN638" s="26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</row>
    <row r="639">
      <c r="A639" s="27"/>
      <c r="B639" s="27"/>
      <c r="C639" s="27"/>
      <c r="D639" s="27"/>
      <c r="E639" s="27"/>
      <c r="F639" s="27"/>
      <c r="G639" s="28"/>
      <c r="H639" s="27"/>
      <c r="I639" s="29"/>
      <c r="J639" s="2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8"/>
      <c r="AR639" s="27"/>
      <c r="AS639" s="29"/>
      <c r="AT639" s="26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8"/>
      <c r="CB639" s="27"/>
      <c r="CC639" s="29"/>
      <c r="CD639" s="26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8"/>
      <c r="DL639" s="27"/>
      <c r="DM639" s="36"/>
      <c r="DN639" s="26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</row>
    <row r="640">
      <c r="A640" s="27"/>
      <c r="B640" s="27"/>
      <c r="C640" s="27"/>
      <c r="D640" s="27"/>
      <c r="E640" s="27"/>
      <c r="F640" s="27"/>
      <c r="G640" s="28"/>
      <c r="H640" s="27"/>
      <c r="I640" s="29"/>
      <c r="J640" s="2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8"/>
      <c r="AR640" s="27"/>
      <c r="AS640" s="29"/>
      <c r="AT640" s="26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8"/>
      <c r="CB640" s="27"/>
      <c r="CC640" s="29"/>
      <c r="CD640" s="26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8"/>
      <c r="DL640" s="27"/>
      <c r="DM640" s="36"/>
      <c r="DN640" s="26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</row>
    <row r="641">
      <c r="A641" s="27"/>
      <c r="B641" s="27"/>
      <c r="C641" s="27"/>
      <c r="D641" s="27"/>
      <c r="E641" s="27"/>
      <c r="F641" s="27"/>
      <c r="G641" s="28"/>
      <c r="H641" s="27"/>
      <c r="I641" s="29"/>
      <c r="J641" s="2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8"/>
      <c r="AR641" s="27"/>
      <c r="AS641" s="29"/>
      <c r="AT641" s="26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8"/>
      <c r="CB641" s="27"/>
      <c r="CC641" s="29"/>
      <c r="CD641" s="26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8"/>
      <c r="DL641" s="27"/>
      <c r="DM641" s="36"/>
      <c r="DN641" s="26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</row>
    <row r="642">
      <c r="A642" s="27"/>
      <c r="B642" s="27"/>
      <c r="C642" s="27"/>
      <c r="D642" s="27"/>
      <c r="E642" s="27"/>
      <c r="F642" s="27"/>
      <c r="G642" s="28"/>
      <c r="H642" s="27"/>
      <c r="I642" s="29"/>
      <c r="J642" s="2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8"/>
      <c r="AR642" s="27"/>
      <c r="AS642" s="29"/>
      <c r="AT642" s="26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8"/>
      <c r="CB642" s="27"/>
      <c r="CC642" s="29"/>
      <c r="CD642" s="26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8"/>
      <c r="DL642" s="27"/>
      <c r="DM642" s="36"/>
      <c r="DN642" s="26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</row>
    <row r="643">
      <c r="A643" s="27"/>
      <c r="B643" s="27"/>
      <c r="C643" s="27"/>
      <c r="D643" s="27"/>
      <c r="E643" s="27"/>
      <c r="F643" s="27"/>
      <c r="G643" s="28"/>
      <c r="H643" s="27"/>
      <c r="I643" s="29"/>
      <c r="J643" s="2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8"/>
      <c r="AR643" s="27"/>
      <c r="AS643" s="29"/>
      <c r="AT643" s="26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8"/>
      <c r="CB643" s="27"/>
      <c r="CC643" s="29"/>
      <c r="CD643" s="26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8"/>
      <c r="DL643" s="27"/>
      <c r="DM643" s="36"/>
      <c r="DN643" s="26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</row>
    <row r="644">
      <c r="A644" s="27"/>
      <c r="B644" s="27"/>
      <c r="C644" s="27"/>
      <c r="D644" s="27"/>
      <c r="E644" s="27"/>
      <c r="F644" s="27"/>
      <c r="G644" s="28"/>
      <c r="H644" s="27"/>
      <c r="I644" s="29"/>
      <c r="J644" s="2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8"/>
      <c r="AR644" s="27"/>
      <c r="AS644" s="29"/>
      <c r="AT644" s="26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8"/>
      <c r="CB644" s="27"/>
      <c r="CC644" s="29"/>
      <c r="CD644" s="26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8"/>
      <c r="DL644" s="27"/>
      <c r="DM644" s="36"/>
      <c r="DN644" s="26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</row>
    <row r="645">
      <c r="A645" s="27"/>
      <c r="B645" s="27"/>
      <c r="C645" s="27"/>
      <c r="D645" s="27"/>
      <c r="E645" s="27"/>
      <c r="F645" s="27"/>
      <c r="G645" s="28"/>
      <c r="H645" s="27"/>
      <c r="I645" s="29"/>
      <c r="J645" s="2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8"/>
      <c r="AR645" s="27"/>
      <c r="AS645" s="29"/>
      <c r="AT645" s="26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8"/>
      <c r="CB645" s="27"/>
      <c r="CC645" s="29"/>
      <c r="CD645" s="26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8"/>
      <c r="DL645" s="27"/>
      <c r="DM645" s="36"/>
      <c r="DN645" s="26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</row>
    <row r="646">
      <c r="A646" s="27"/>
      <c r="B646" s="27"/>
      <c r="C646" s="27"/>
      <c r="D646" s="27"/>
      <c r="E646" s="27"/>
      <c r="F646" s="27"/>
      <c r="G646" s="28"/>
      <c r="H646" s="27"/>
      <c r="I646" s="29"/>
      <c r="J646" s="2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8"/>
      <c r="AR646" s="27"/>
      <c r="AS646" s="29"/>
      <c r="AT646" s="26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8"/>
      <c r="CB646" s="27"/>
      <c r="CC646" s="29"/>
      <c r="CD646" s="26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8"/>
      <c r="DL646" s="27"/>
      <c r="DM646" s="36"/>
      <c r="DN646" s="26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</row>
    <row r="647">
      <c r="A647" s="27"/>
      <c r="B647" s="27"/>
      <c r="C647" s="27"/>
      <c r="D647" s="27"/>
      <c r="E647" s="27"/>
      <c r="F647" s="27"/>
      <c r="G647" s="28"/>
      <c r="H647" s="27"/>
      <c r="I647" s="29"/>
      <c r="J647" s="2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8"/>
      <c r="AR647" s="27"/>
      <c r="AS647" s="29"/>
      <c r="AT647" s="26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8"/>
      <c r="CB647" s="27"/>
      <c r="CC647" s="29"/>
      <c r="CD647" s="26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8"/>
      <c r="DL647" s="27"/>
      <c r="DM647" s="36"/>
      <c r="DN647" s="26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</row>
    <row r="648">
      <c r="A648" s="27"/>
      <c r="B648" s="27"/>
      <c r="C648" s="27"/>
      <c r="D648" s="27"/>
      <c r="E648" s="27"/>
      <c r="F648" s="27"/>
      <c r="G648" s="28"/>
      <c r="H648" s="27"/>
      <c r="I648" s="29"/>
      <c r="J648" s="2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8"/>
      <c r="AR648" s="27"/>
      <c r="AS648" s="29"/>
      <c r="AT648" s="26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8"/>
      <c r="CB648" s="27"/>
      <c r="CC648" s="29"/>
      <c r="CD648" s="26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8"/>
      <c r="DL648" s="27"/>
      <c r="DM648" s="36"/>
      <c r="DN648" s="26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</row>
    <row r="649">
      <c r="A649" s="27"/>
      <c r="B649" s="27"/>
      <c r="C649" s="27"/>
      <c r="D649" s="27"/>
      <c r="E649" s="27"/>
      <c r="F649" s="27"/>
      <c r="G649" s="28"/>
      <c r="H649" s="27"/>
      <c r="I649" s="29"/>
      <c r="J649" s="2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8"/>
      <c r="AR649" s="27"/>
      <c r="AS649" s="29"/>
      <c r="AT649" s="26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8"/>
      <c r="CB649" s="27"/>
      <c r="CC649" s="29"/>
      <c r="CD649" s="26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8"/>
      <c r="DL649" s="27"/>
      <c r="DM649" s="36"/>
      <c r="DN649" s="26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</row>
    <row r="650">
      <c r="A650" s="27"/>
      <c r="B650" s="27"/>
      <c r="C650" s="27"/>
      <c r="D650" s="27"/>
      <c r="E650" s="27"/>
      <c r="F650" s="27"/>
      <c r="G650" s="28"/>
      <c r="H650" s="27"/>
      <c r="I650" s="29"/>
      <c r="J650" s="2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8"/>
      <c r="AR650" s="27"/>
      <c r="AS650" s="29"/>
      <c r="AT650" s="26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8"/>
      <c r="CB650" s="27"/>
      <c r="CC650" s="29"/>
      <c r="CD650" s="26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8"/>
      <c r="DL650" s="27"/>
      <c r="DM650" s="36"/>
      <c r="DN650" s="26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</row>
    <row r="651">
      <c r="A651" s="27"/>
      <c r="B651" s="27"/>
      <c r="C651" s="27"/>
      <c r="D651" s="27"/>
      <c r="E651" s="27"/>
      <c r="F651" s="27"/>
      <c r="G651" s="28"/>
      <c r="H651" s="27"/>
      <c r="I651" s="29"/>
      <c r="J651" s="2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8"/>
      <c r="AR651" s="27"/>
      <c r="AS651" s="29"/>
      <c r="AT651" s="26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8"/>
      <c r="CB651" s="27"/>
      <c r="CC651" s="29"/>
      <c r="CD651" s="26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8"/>
      <c r="DL651" s="27"/>
      <c r="DM651" s="36"/>
      <c r="DN651" s="26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</row>
    <row r="652">
      <c r="A652" s="27"/>
      <c r="B652" s="27"/>
      <c r="C652" s="27"/>
      <c r="D652" s="27"/>
      <c r="E652" s="27"/>
      <c r="F652" s="27"/>
      <c r="G652" s="28"/>
      <c r="H652" s="27"/>
      <c r="I652" s="29"/>
      <c r="J652" s="2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8"/>
      <c r="AR652" s="27"/>
      <c r="AS652" s="29"/>
      <c r="AT652" s="26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8"/>
      <c r="CB652" s="27"/>
      <c r="CC652" s="29"/>
      <c r="CD652" s="26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8"/>
      <c r="DL652" s="27"/>
      <c r="DM652" s="36"/>
      <c r="DN652" s="26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</row>
    <row r="653">
      <c r="A653" s="27"/>
      <c r="B653" s="27"/>
      <c r="C653" s="27"/>
      <c r="D653" s="27"/>
      <c r="E653" s="27"/>
      <c r="F653" s="27"/>
      <c r="G653" s="28"/>
      <c r="H653" s="27"/>
      <c r="I653" s="29"/>
      <c r="J653" s="2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8"/>
      <c r="AR653" s="27"/>
      <c r="AS653" s="29"/>
      <c r="AT653" s="26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8"/>
      <c r="CB653" s="27"/>
      <c r="CC653" s="29"/>
      <c r="CD653" s="26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8"/>
      <c r="DL653" s="27"/>
      <c r="DM653" s="36"/>
      <c r="DN653" s="26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</row>
    <row r="654">
      <c r="A654" s="27"/>
      <c r="B654" s="27"/>
      <c r="C654" s="27"/>
      <c r="D654" s="27"/>
      <c r="E654" s="27"/>
      <c r="F654" s="27"/>
      <c r="G654" s="28"/>
      <c r="H654" s="27"/>
      <c r="I654" s="29"/>
      <c r="J654" s="2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8"/>
      <c r="AR654" s="27"/>
      <c r="AS654" s="29"/>
      <c r="AT654" s="26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8"/>
      <c r="CB654" s="27"/>
      <c r="CC654" s="29"/>
      <c r="CD654" s="26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8"/>
      <c r="DL654" s="27"/>
      <c r="DM654" s="36"/>
      <c r="DN654" s="26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</row>
    <row r="655">
      <c r="A655" s="27"/>
      <c r="B655" s="27"/>
      <c r="C655" s="27"/>
      <c r="D655" s="27"/>
      <c r="E655" s="27"/>
      <c r="F655" s="27"/>
      <c r="G655" s="28"/>
      <c r="H655" s="27"/>
      <c r="I655" s="29"/>
      <c r="J655" s="2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8"/>
      <c r="AR655" s="27"/>
      <c r="AS655" s="29"/>
      <c r="AT655" s="26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8"/>
      <c r="CB655" s="27"/>
      <c r="CC655" s="29"/>
      <c r="CD655" s="26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8"/>
      <c r="DL655" s="27"/>
      <c r="DM655" s="36"/>
      <c r="DN655" s="26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</row>
    <row r="656">
      <c r="A656" s="27"/>
      <c r="B656" s="27"/>
      <c r="C656" s="27"/>
      <c r="D656" s="27"/>
      <c r="E656" s="27"/>
      <c r="F656" s="27"/>
      <c r="G656" s="28"/>
      <c r="H656" s="27"/>
      <c r="I656" s="29"/>
      <c r="J656" s="2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8"/>
      <c r="AR656" s="27"/>
      <c r="AS656" s="29"/>
      <c r="AT656" s="26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8"/>
      <c r="CB656" s="27"/>
      <c r="CC656" s="29"/>
      <c r="CD656" s="26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8"/>
      <c r="DL656" s="27"/>
      <c r="DM656" s="36"/>
      <c r="DN656" s="26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</row>
    <row r="657">
      <c r="A657" s="27"/>
      <c r="B657" s="27"/>
      <c r="C657" s="27"/>
      <c r="D657" s="27"/>
      <c r="E657" s="27"/>
      <c r="F657" s="27"/>
      <c r="G657" s="28"/>
      <c r="H657" s="27"/>
      <c r="I657" s="29"/>
      <c r="J657" s="2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8"/>
      <c r="AR657" s="27"/>
      <c r="AS657" s="29"/>
      <c r="AT657" s="26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8"/>
      <c r="CB657" s="27"/>
      <c r="CC657" s="29"/>
      <c r="CD657" s="26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8"/>
      <c r="DL657" s="27"/>
      <c r="DM657" s="36"/>
      <c r="DN657" s="26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</row>
    <row r="658">
      <c r="A658" s="27"/>
      <c r="B658" s="27"/>
      <c r="C658" s="27"/>
      <c r="D658" s="27"/>
      <c r="E658" s="27"/>
      <c r="F658" s="27"/>
      <c r="G658" s="28"/>
      <c r="H658" s="27"/>
      <c r="I658" s="29"/>
      <c r="J658" s="2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8"/>
      <c r="AR658" s="27"/>
      <c r="AS658" s="29"/>
      <c r="AT658" s="26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8"/>
      <c r="CB658" s="27"/>
      <c r="CC658" s="29"/>
      <c r="CD658" s="26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8"/>
      <c r="DL658" s="27"/>
      <c r="DM658" s="36"/>
      <c r="DN658" s="26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</row>
    <row r="659">
      <c r="A659" s="27"/>
      <c r="B659" s="27"/>
      <c r="C659" s="27"/>
      <c r="D659" s="27"/>
      <c r="E659" s="27"/>
      <c r="F659" s="27"/>
      <c r="G659" s="28"/>
      <c r="H659" s="27"/>
      <c r="I659" s="29"/>
      <c r="J659" s="2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8"/>
      <c r="AR659" s="27"/>
      <c r="AS659" s="29"/>
      <c r="AT659" s="26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8"/>
      <c r="CB659" s="27"/>
      <c r="CC659" s="29"/>
      <c r="CD659" s="26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8"/>
      <c r="DL659" s="27"/>
      <c r="DM659" s="36"/>
      <c r="DN659" s="26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</row>
    <row r="660">
      <c r="A660" s="27"/>
      <c r="B660" s="27"/>
      <c r="C660" s="27"/>
      <c r="D660" s="27"/>
      <c r="E660" s="27"/>
      <c r="F660" s="27"/>
      <c r="G660" s="28"/>
      <c r="H660" s="27"/>
      <c r="I660" s="29"/>
      <c r="J660" s="2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8"/>
      <c r="AR660" s="27"/>
      <c r="AS660" s="29"/>
      <c r="AT660" s="26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8"/>
      <c r="CB660" s="27"/>
      <c r="CC660" s="29"/>
      <c r="CD660" s="26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8"/>
      <c r="DL660" s="27"/>
      <c r="DM660" s="36"/>
      <c r="DN660" s="26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</row>
    <row r="661">
      <c r="A661" s="27"/>
      <c r="B661" s="27"/>
      <c r="C661" s="27"/>
      <c r="D661" s="27"/>
      <c r="E661" s="27"/>
      <c r="F661" s="27"/>
      <c r="G661" s="28"/>
      <c r="H661" s="27"/>
      <c r="I661" s="29"/>
      <c r="J661" s="2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8"/>
      <c r="AR661" s="27"/>
      <c r="AS661" s="29"/>
      <c r="AT661" s="26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8"/>
      <c r="CB661" s="27"/>
      <c r="CC661" s="29"/>
      <c r="CD661" s="26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8"/>
      <c r="DL661" s="27"/>
      <c r="DM661" s="36"/>
      <c r="DN661" s="26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</row>
    <row r="662">
      <c r="A662" s="27"/>
      <c r="B662" s="27"/>
      <c r="C662" s="27"/>
      <c r="D662" s="27"/>
      <c r="E662" s="27"/>
      <c r="F662" s="27"/>
      <c r="G662" s="28"/>
      <c r="H662" s="27"/>
      <c r="I662" s="29"/>
      <c r="J662" s="2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8"/>
      <c r="AR662" s="27"/>
      <c r="AS662" s="29"/>
      <c r="AT662" s="26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8"/>
      <c r="CB662" s="27"/>
      <c r="CC662" s="29"/>
      <c r="CD662" s="26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8"/>
      <c r="DL662" s="27"/>
      <c r="DM662" s="36"/>
      <c r="DN662" s="26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</row>
    <row r="663">
      <c r="A663" s="27"/>
      <c r="B663" s="27"/>
      <c r="C663" s="27"/>
      <c r="D663" s="27"/>
      <c r="E663" s="27"/>
      <c r="F663" s="27"/>
      <c r="G663" s="28"/>
      <c r="H663" s="27"/>
      <c r="I663" s="29"/>
      <c r="J663" s="2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8"/>
      <c r="AR663" s="27"/>
      <c r="AS663" s="29"/>
      <c r="AT663" s="26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8"/>
      <c r="CB663" s="27"/>
      <c r="CC663" s="29"/>
      <c r="CD663" s="26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8"/>
      <c r="DL663" s="27"/>
      <c r="DM663" s="36"/>
      <c r="DN663" s="26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</row>
    <row r="664">
      <c r="A664" s="27"/>
      <c r="B664" s="27"/>
      <c r="C664" s="27"/>
      <c r="D664" s="27"/>
      <c r="E664" s="27"/>
      <c r="F664" s="27"/>
      <c r="G664" s="28"/>
      <c r="H664" s="27"/>
      <c r="I664" s="29"/>
      <c r="J664" s="2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8"/>
      <c r="AR664" s="27"/>
      <c r="AS664" s="29"/>
      <c r="AT664" s="26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8"/>
      <c r="CB664" s="27"/>
      <c r="CC664" s="29"/>
      <c r="CD664" s="26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8"/>
      <c r="DL664" s="27"/>
      <c r="DM664" s="36"/>
      <c r="DN664" s="26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</row>
    <row r="665">
      <c r="A665" s="27"/>
      <c r="B665" s="27"/>
      <c r="C665" s="27"/>
      <c r="D665" s="27"/>
      <c r="E665" s="27"/>
      <c r="F665" s="27"/>
      <c r="G665" s="28"/>
      <c r="H665" s="27"/>
      <c r="I665" s="29"/>
      <c r="J665" s="2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8"/>
      <c r="AR665" s="27"/>
      <c r="AS665" s="29"/>
      <c r="AT665" s="26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8"/>
      <c r="CB665" s="27"/>
      <c r="CC665" s="29"/>
      <c r="CD665" s="26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8"/>
      <c r="DL665" s="27"/>
      <c r="DM665" s="36"/>
      <c r="DN665" s="26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</row>
    <row r="666">
      <c r="A666" s="27"/>
      <c r="B666" s="27"/>
      <c r="C666" s="27"/>
      <c r="D666" s="27"/>
      <c r="E666" s="27"/>
      <c r="F666" s="27"/>
      <c r="G666" s="28"/>
      <c r="H666" s="27"/>
      <c r="I666" s="29"/>
      <c r="J666" s="2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8"/>
      <c r="AR666" s="27"/>
      <c r="AS666" s="29"/>
      <c r="AT666" s="26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8"/>
      <c r="CB666" s="27"/>
      <c r="CC666" s="29"/>
      <c r="CD666" s="26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8"/>
      <c r="DL666" s="27"/>
      <c r="DM666" s="36"/>
      <c r="DN666" s="26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</row>
    <row r="667">
      <c r="A667" s="27"/>
      <c r="B667" s="27"/>
      <c r="C667" s="27"/>
      <c r="D667" s="27"/>
      <c r="E667" s="27"/>
      <c r="F667" s="27"/>
      <c r="G667" s="28"/>
      <c r="H667" s="27"/>
      <c r="I667" s="29"/>
      <c r="J667" s="2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8"/>
      <c r="AR667" s="27"/>
      <c r="AS667" s="29"/>
      <c r="AT667" s="26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8"/>
      <c r="CB667" s="27"/>
      <c r="CC667" s="29"/>
      <c r="CD667" s="26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8"/>
      <c r="DL667" s="27"/>
      <c r="DM667" s="36"/>
      <c r="DN667" s="26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</row>
    <row r="668">
      <c r="A668" s="27"/>
      <c r="B668" s="27"/>
      <c r="C668" s="27"/>
      <c r="D668" s="27"/>
      <c r="E668" s="27"/>
      <c r="F668" s="27"/>
      <c r="G668" s="28"/>
      <c r="H668" s="27"/>
      <c r="I668" s="29"/>
      <c r="J668" s="2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8"/>
      <c r="AR668" s="27"/>
      <c r="AS668" s="29"/>
      <c r="AT668" s="26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8"/>
      <c r="CB668" s="27"/>
      <c r="CC668" s="29"/>
      <c r="CD668" s="26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8"/>
      <c r="DL668" s="27"/>
      <c r="DM668" s="36"/>
      <c r="DN668" s="26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</row>
    <row r="669">
      <c r="A669" s="27"/>
      <c r="B669" s="27"/>
      <c r="C669" s="27"/>
      <c r="D669" s="27"/>
      <c r="E669" s="27"/>
      <c r="F669" s="27"/>
      <c r="G669" s="28"/>
      <c r="H669" s="27"/>
      <c r="I669" s="29"/>
      <c r="J669" s="2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8"/>
      <c r="AR669" s="27"/>
      <c r="AS669" s="29"/>
      <c r="AT669" s="26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8"/>
      <c r="CB669" s="27"/>
      <c r="CC669" s="29"/>
      <c r="CD669" s="26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8"/>
      <c r="DL669" s="27"/>
      <c r="DM669" s="36"/>
      <c r="DN669" s="26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</row>
    <row r="670">
      <c r="A670" s="27"/>
      <c r="B670" s="27"/>
      <c r="C670" s="27"/>
      <c r="D670" s="27"/>
      <c r="E670" s="27"/>
      <c r="F670" s="27"/>
      <c r="G670" s="28"/>
      <c r="H670" s="27"/>
      <c r="I670" s="29"/>
      <c r="J670" s="2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8"/>
      <c r="AR670" s="27"/>
      <c r="AS670" s="29"/>
      <c r="AT670" s="26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8"/>
      <c r="CB670" s="27"/>
      <c r="CC670" s="29"/>
      <c r="CD670" s="26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8"/>
      <c r="DL670" s="27"/>
      <c r="DM670" s="36"/>
      <c r="DN670" s="26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</row>
    <row r="671">
      <c r="A671" s="27"/>
      <c r="B671" s="27"/>
      <c r="C671" s="27"/>
      <c r="D671" s="27"/>
      <c r="E671" s="27"/>
      <c r="F671" s="27"/>
      <c r="G671" s="28"/>
      <c r="H671" s="27"/>
      <c r="I671" s="29"/>
      <c r="J671" s="2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8"/>
      <c r="AR671" s="27"/>
      <c r="AS671" s="29"/>
      <c r="AT671" s="26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8"/>
      <c r="CB671" s="27"/>
      <c r="CC671" s="29"/>
      <c r="CD671" s="26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8"/>
      <c r="DL671" s="27"/>
      <c r="DM671" s="36"/>
      <c r="DN671" s="26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</row>
    <row r="672">
      <c r="A672" s="27"/>
      <c r="B672" s="27"/>
      <c r="C672" s="27"/>
      <c r="D672" s="27"/>
      <c r="E672" s="27"/>
      <c r="F672" s="27"/>
      <c r="G672" s="28"/>
      <c r="H672" s="27"/>
      <c r="I672" s="29"/>
      <c r="J672" s="2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8"/>
      <c r="AR672" s="27"/>
      <c r="AS672" s="29"/>
      <c r="AT672" s="26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8"/>
      <c r="CB672" s="27"/>
      <c r="CC672" s="29"/>
      <c r="CD672" s="26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8"/>
      <c r="DL672" s="27"/>
      <c r="DM672" s="36"/>
      <c r="DN672" s="26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</row>
    <row r="673">
      <c r="A673" s="27"/>
      <c r="B673" s="27"/>
      <c r="C673" s="27"/>
      <c r="D673" s="27"/>
      <c r="E673" s="27"/>
      <c r="F673" s="27"/>
      <c r="G673" s="28"/>
      <c r="H673" s="27"/>
      <c r="I673" s="29"/>
      <c r="J673" s="2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8"/>
      <c r="AR673" s="27"/>
      <c r="AS673" s="29"/>
      <c r="AT673" s="26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8"/>
      <c r="CB673" s="27"/>
      <c r="CC673" s="29"/>
      <c r="CD673" s="26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8"/>
      <c r="DL673" s="27"/>
      <c r="DM673" s="36"/>
      <c r="DN673" s="26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</row>
    <row r="674">
      <c r="A674" s="27"/>
      <c r="B674" s="27"/>
      <c r="C674" s="27"/>
      <c r="D674" s="27"/>
      <c r="E674" s="27"/>
      <c r="F674" s="27"/>
      <c r="G674" s="28"/>
      <c r="H674" s="27"/>
      <c r="I674" s="29"/>
      <c r="J674" s="2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8"/>
      <c r="AR674" s="27"/>
      <c r="AS674" s="29"/>
      <c r="AT674" s="26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8"/>
      <c r="CB674" s="27"/>
      <c r="CC674" s="29"/>
      <c r="CD674" s="26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8"/>
      <c r="DL674" s="27"/>
      <c r="DM674" s="36"/>
      <c r="DN674" s="26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</row>
    <row r="675">
      <c r="A675" s="27"/>
      <c r="B675" s="27"/>
      <c r="C675" s="27"/>
      <c r="D675" s="27"/>
      <c r="E675" s="27"/>
      <c r="F675" s="27"/>
      <c r="G675" s="28"/>
      <c r="H675" s="27"/>
      <c r="I675" s="29"/>
      <c r="J675" s="2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8"/>
      <c r="AR675" s="27"/>
      <c r="AS675" s="29"/>
      <c r="AT675" s="26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8"/>
      <c r="CB675" s="27"/>
      <c r="CC675" s="29"/>
      <c r="CD675" s="26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8"/>
      <c r="DL675" s="27"/>
      <c r="DM675" s="36"/>
      <c r="DN675" s="26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</row>
    <row r="676">
      <c r="A676" s="27"/>
      <c r="B676" s="27"/>
      <c r="C676" s="27"/>
      <c r="D676" s="27"/>
      <c r="E676" s="27"/>
      <c r="F676" s="27"/>
      <c r="G676" s="28"/>
      <c r="H676" s="27"/>
      <c r="I676" s="29"/>
      <c r="J676" s="2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8"/>
      <c r="AR676" s="27"/>
      <c r="AS676" s="29"/>
      <c r="AT676" s="26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8"/>
      <c r="CB676" s="27"/>
      <c r="CC676" s="29"/>
      <c r="CD676" s="26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8"/>
      <c r="DL676" s="27"/>
      <c r="DM676" s="36"/>
      <c r="DN676" s="26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</row>
    <row r="677">
      <c r="A677" s="27"/>
      <c r="B677" s="27"/>
      <c r="C677" s="27"/>
      <c r="D677" s="27"/>
      <c r="E677" s="27"/>
      <c r="F677" s="27"/>
      <c r="G677" s="28"/>
      <c r="H677" s="27"/>
      <c r="I677" s="29"/>
      <c r="J677" s="2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8"/>
      <c r="AR677" s="27"/>
      <c r="AS677" s="29"/>
      <c r="AT677" s="26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8"/>
      <c r="CB677" s="27"/>
      <c r="CC677" s="29"/>
      <c r="CD677" s="26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8"/>
      <c r="DL677" s="27"/>
      <c r="DM677" s="36"/>
      <c r="DN677" s="26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</row>
    <row r="678">
      <c r="A678" s="27"/>
      <c r="B678" s="27"/>
      <c r="C678" s="27"/>
      <c r="D678" s="27"/>
      <c r="E678" s="27"/>
      <c r="F678" s="27"/>
      <c r="G678" s="28"/>
      <c r="H678" s="27"/>
      <c r="I678" s="29"/>
      <c r="J678" s="2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8"/>
      <c r="AR678" s="27"/>
      <c r="AS678" s="29"/>
      <c r="AT678" s="26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8"/>
      <c r="CB678" s="27"/>
      <c r="CC678" s="29"/>
      <c r="CD678" s="26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8"/>
      <c r="DL678" s="27"/>
      <c r="DM678" s="36"/>
      <c r="DN678" s="26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</row>
    <row r="679">
      <c r="A679" s="27"/>
      <c r="B679" s="27"/>
      <c r="C679" s="27"/>
      <c r="D679" s="27"/>
      <c r="E679" s="27"/>
      <c r="F679" s="27"/>
      <c r="G679" s="28"/>
      <c r="H679" s="27"/>
      <c r="I679" s="29"/>
      <c r="J679" s="2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8"/>
      <c r="AR679" s="27"/>
      <c r="AS679" s="29"/>
      <c r="AT679" s="26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8"/>
      <c r="CB679" s="27"/>
      <c r="CC679" s="29"/>
      <c r="CD679" s="26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8"/>
      <c r="DL679" s="27"/>
      <c r="DM679" s="36"/>
      <c r="DN679" s="26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</row>
    <row r="680">
      <c r="A680" s="27"/>
      <c r="B680" s="27"/>
      <c r="C680" s="27"/>
      <c r="D680" s="27"/>
      <c r="E680" s="27"/>
      <c r="F680" s="27"/>
      <c r="G680" s="28"/>
      <c r="H680" s="27"/>
      <c r="I680" s="29"/>
      <c r="J680" s="2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8"/>
      <c r="AR680" s="27"/>
      <c r="AS680" s="29"/>
      <c r="AT680" s="26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8"/>
      <c r="CB680" s="27"/>
      <c r="CC680" s="29"/>
      <c r="CD680" s="26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8"/>
      <c r="DL680" s="27"/>
      <c r="DM680" s="36"/>
      <c r="DN680" s="26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</row>
    <row r="681">
      <c r="A681" s="27"/>
      <c r="B681" s="27"/>
      <c r="C681" s="27"/>
      <c r="D681" s="27"/>
      <c r="E681" s="27"/>
      <c r="F681" s="27"/>
      <c r="G681" s="28"/>
      <c r="H681" s="27"/>
      <c r="I681" s="29"/>
      <c r="J681" s="2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8"/>
      <c r="AR681" s="27"/>
      <c r="AS681" s="29"/>
      <c r="AT681" s="26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8"/>
      <c r="CB681" s="27"/>
      <c r="CC681" s="29"/>
      <c r="CD681" s="26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8"/>
      <c r="DL681" s="27"/>
      <c r="DM681" s="36"/>
      <c r="DN681" s="26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</row>
    <row r="682">
      <c r="A682" s="27"/>
      <c r="B682" s="27"/>
      <c r="C682" s="27"/>
      <c r="D682" s="27"/>
      <c r="E682" s="27"/>
      <c r="F682" s="27"/>
      <c r="G682" s="28"/>
      <c r="H682" s="27"/>
      <c r="I682" s="29"/>
      <c r="J682" s="2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8"/>
      <c r="AR682" s="27"/>
      <c r="AS682" s="29"/>
      <c r="AT682" s="26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8"/>
      <c r="CB682" s="27"/>
      <c r="CC682" s="29"/>
      <c r="CD682" s="26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8"/>
      <c r="DL682" s="27"/>
      <c r="DM682" s="36"/>
      <c r="DN682" s="26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</row>
    <row r="683">
      <c r="A683" s="27"/>
      <c r="B683" s="27"/>
      <c r="C683" s="27"/>
      <c r="D683" s="27"/>
      <c r="E683" s="27"/>
      <c r="F683" s="27"/>
      <c r="G683" s="28"/>
      <c r="H683" s="27"/>
      <c r="I683" s="29"/>
      <c r="J683" s="2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8"/>
      <c r="AR683" s="27"/>
      <c r="AS683" s="29"/>
      <c r="AT683" s="26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8"/>
      <c r="CB683" s="27"/>
      <c r="CC683" s="29"/>
      <c r="CD683" s="26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8"/>
      <c r="DL683" s="27"/>
      <c r="DM683" s="36"/>
      <c r="DN683" s="26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</row>
    <row r="684">
      <c r="A684" s="27"/>
      <c r="B684" s="27"/>
      <c r="C684" s="27"/>
      <c r="D684" s="27"/>
      <c r="E684" s="27"/>
      <c r="F684" s="27"/>
      <c r="G684" s="28"/>
      <c r="H684" s="27"/>
      <c r="I684" s="29"/>
      <c r="J684" s="2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8"/>
      <c r="AR684" s="27"/>
      <c r="AS684" s="29"/>
      <c r="AT684" s="26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8"/>
      <c r="CB684" s="27"/>
      <c r="CC684" s="29"/>
      <c r="CD684" s="26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8"/>
      <c r="DL684" s="27"/>
      <c r="DM684" s="36"/>
      <c r="DN684" s="26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</row>
    <row r="685">
      <c r="A685" s="27"/>
      <c r="B685" s="27"/>
      <c r="C685" s="27"/>
      <c r="D685" s="27"/>
      <c r="E685" s="27"/>
      <c r="F685" s="27"/>
      <c r="G685" s="28"/>
      <c r="H685" s="27"/>
      <c r="I685" s="29"/>
      <c r="J685" s="2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8"/>
      <c r="AR685" s="27"/>
      <c r="AS685" s="29"/>
      <c r="AT685" s="26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8"/>
      <c r="CB685" s="27"/>
      <c r="CC685" s="29"/>
      <c r="CD685" s="26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8"/>
      <c r="DL685" s="27"/>
      <c r="DM685" s="36"/>
      <c r="DN685" s="26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</row>
    <row r="686">
      <c r="A686" s="27"/>
      <c r="B686" s="27"/>
      <c r="C686" s="27"/>
      <c r="D686" s="27"/>
      <c r="E686" s="27"/>
      <c r="F686" s="27"/>
      <c r="G686" s="28"/>
      <c r="H686" s="27"/>
      <c r="I686" s="29"/>
      <c r="J686" s="2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8"/>
      <c r="AR686" s="27"/>
      <c r="AS686" s="29"/>
      <c r="AT686" s="26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8"/>
      <c r="CB686" s="27"/>
      <c r="CC686" s="29"/>
      <c r="CD686" s="26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8"/>
      <c r="DL686" s="27"/>
      <c r="DM686" s="36"/>
      <c r="DN686" s="26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</row>
    <row r="687">
      <c r="A687" s="27"/>
      <c r="B687" s="27"/>
      <c r="C687" s="27"/>
      <c r="D687" s="27"/>
      <c r="E687" s="27"/>
      <c r="F687" s="27"/>
      <c r="G687" s="28"/>
      <c r="H687" s="27"/>
      <c r="I687" s="29"/>
      <c r="J687" s="2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8"/>
      <c r="AR687" s="27"/>
      <c r="AS687" s="29"/>
      <c r="AT687" s="26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8"/>
      <c r="CB687" s="27"/>
      <c r="CC687" s="29"/>
      <c r="CD687" s="26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8"/>
      <c r="DL687" s="27"/>
      <c r="DM687" s="36"/>
      <c r="DN687" s="26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</row>
    <row r="688">
      <c r="A688" s="27"/>
      <c r="B688" s="27"/>
      <c r="C688" s="27"/>
      <c r="D688" s="27"/>
      <c r="E688" s="27"/>
      <c r="F688" s="27"/>
      <c r="G688" s="28"/>
      <c r="H688" s="27"/>
      <c r="I688" s="29"/>
      <c r="J688" s="2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8"/>
      <c r="AR688" s="27"/>
      <c r="AS688" s="29"/>
      <c r="AT688" s="26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8"/>
      <c r="CB688" s="27"/>
      <c r="CC688" s="29"/>
      <c r="CD688" s="26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8"/>
      <c r="DL688" s="27"/>
      <c r="DM688" s="36"/>
      <c r="DN688" s="26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</row>
    <row r="689">
      <c r="A689" s="27"/>
      <c r="B689" s="27"/>
      <c r="C689" s="27"/>
      <c r="D689" s="27"/>
      <c r="E689" s="27"/>
      <c r="F689" s="27"/>
      <c r="G689" s="28"/>
      <c r="H689" s="27"/>
      <c r="I689" s="29"/>
      <c r="J689" s="2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8"/>
      <c r="AR689" s="27"/>
      <c r="AS689" s="29"/>
      <c r="AT689" s="26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8"/>
      <c r="CB689" s="27"/>
      <c r="CC689" s="29"/>
      <c r="CD689" s="26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8"/>
      <c r="DL689" s="27"/>
      <c r="DM689" s="36"/>
      <c r="DN689" s="26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</row>
    <row r="690">
      <c r="A690" s="27"/>
      <c r="B690" s="27"/>
      <c r="C690" s="27"/>
      <c r="D690" s="27"/>
      <c r="E690" s="27"/>
      <c r="F690" s="27"/>
      <c r="G690" s="28"/>
      <c r="H690" s="27"/>
      <c r="I690" s="29"/>
      <c r="J690" s="2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8"/>
      <c r="AR690" s="27"/>
      <c r="AS690" s="29"/>
      <c r="AT690" s="26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8"/>
      <c r="CB690" s="27"/>
      <c r="CC690" s="29"/>
      <c r="CD690" s="26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8"/>
      <c r="DL690" s="27"/>
      <c r="DM690" s="36"/>
      <c r="DN690" s="26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</row>
    <row r="691">
      <c r="A691" s="27"/>
      <c r="B691" s="27"/>
      <c r="C691" s="27"/>
      <c r="D691" s="27"/>
      <c r="E691" s="27"/>
      <c r="F691" s="27"/>
      <c r="G691" s="28"/>
      <c r="H691" s="27"/>
      <c r="I691" s="29"/>
      <c r="J691" s="2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8"/>
      <c r="AR691" s="27"/>
      <c r="AS691" s="29"/>
      <c r="AT691" s="26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8"/>
      <c r="CB691" s="27"/>
      <c r="CC691" s="29"/>
      <c r="CD691" s="26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8"/>
      <c r="DL691" s="27"/>
      <c r="DM691" s="36"/>
      <c r="DN691" s="26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</row>
    <row r="692">
      <c r="A692" s="27"/>
      <c r="B692" s="27"/>
      <c r="C692" s="27"/>
      <c r="D692" s="27"/>
      <c r="E692" s="27"/>
      <c r="F692" s="27"/>
      <c r="G692" s="28"/>
      <c r="H692" s="27"/>
      <c r="I692" s="29"/>
      <c r="J692" s="2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8"/>
      <c r="AR692" s="27"/>
      <c r="AS692" s="29"/>
      <c r="AT692" s="26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8"/>
      <c r="CB692" s="27"/>
      <c r="CC692" s="29"/>
      <c r="CD692" s="26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8"/>
      <c r="DL692" s="27"/>
      <c r="DM692" s="36"/>
      <c r="DN692" s="26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</row>
    <row r="693">
      <c r="A693" s="27"/>
      <c r="B693" s="27"/>
      <c r="C693" s="27"/>
      <c r="D693" s="27"/>
      <c r="E693" s="27"/>
      <c r="F693" s="27"/>
      <c r="G693" s="28"/>
      <c r="H693" s="27"/>
      <c r="I693" s="29"/>
      <c r="J693" s="2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8"/>
      <c r="AR693" s="27"/>
      <c r="AS693" s="29"/>
      <c r="AT693" s="26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8"/>
      <c r="CB693" s="27"/>
      <c r="CC693" s="29"/>
      <c r="CD693" s="26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8"/>
      <c r="DL693" s="27"/>
      <c r="DM693" s="36"/>
      <c r="DN693" s="26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</row>
    <row r="694">
      <c r="A694" s="27"/>
      <c r="B694" s="27"/>
      <c r="C694" s="27"/>
      <c r="D694" s="27"/>
      <c r="E694" s="27"/>
      <c r="F694" s="27"/>
      <c r="G694" s="28"/>
      <c r="H694" s="27"/>
      <c r="I694" s="29"/>
      <c r="J694" s="2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8"/>
      <c r="AR694" s="27"/>
      <c r="AS694" s="29"/>
      <c r="AT694" s="26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8"/>
      <c r="CB694" s="27"/>
      <c r="CC694" s="29"/>
      <c r="CD694" s="26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8"/>
      <c r="DL694" s="27"/>
      <c r="DM694" s="36"/>
      <c r="DN694" s="26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</row>
    <row r="695">
      <c r="A695" s="27"/>
      <c r="B695" s="27"/>
      <c r="C695" s="27"/>
      <c r="D695" s="27"/>
      <c r="E695" s="27"/>
      <c r="F695" s="27"/>
      <c r="G695" s="28"/>
      <c r="H695" s="27"/>
      <c r="I695" s="29"/>
      <c r="J695" s="2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8"/>
      <c r="AR695" s="27"/>
      <c r="AS695" s="29"/>
      <c r="AT695" s="26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8"/>
      <c r="CB695" s="27"/>
      <c r="CC695" s="29"/>
      <c r="CD695" s="26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8"/>
      <c r="DL695" s="27"/>
      <c r="DM695" s="36"/>
      <c r="DN695" s="26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</row>
    <row r="696">
      <c r="A696" s="27"/>
      <c r="B696" s="27"/>
      <c r="C696" s="27"/>
      <c r="D696" s="27"/>
      <c r="E696" s="27"/>
      <c r="F696" s="27"/>
      <c r="G696" s="28"/>
      <c r="H696" s="27"/>
      <c r="I696" s="29"/>
      <c r="J696" s="2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8"/>
      <c r="AR696" s="27"/>
      <c r="AS696" s="29"/>
      <c r="AT696" s="26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8"/>
      <c r="CB696" s="27"/>
      <c r="CC696" s="29"/>
      <c r="CD696" s="26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8"/>
      <c r="DL696" s="27"/>
      <c r="DM696" s="36"/>
      <c r="DN696" s="26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</row>
    <row r="697">
      <c r="A697" s="27"/>
      <c r="B697" s="27"/>
      <c r="C697" s="27"/>
      <c r="D697" s="27"/>
      <c r="E697" s="27"/>
      <c r="F697" s="27"/>
      <c r="G697" s="28"/>
      <c r="H697" s="27"/>
      <c r="I697" s="29"/>
      <c r="J697" s="2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8"/>
      <c r="AR697" s="27"/>
      <c r="AS697" s="29"/>
      <c r="AT697" s="26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8"/>
      <c r="CB697" s="27"/>
      <c r="CC697" s="29"/>
      <c r="CD697" s="26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8"/>
      <c r="DL697" s="27"/>
      <c r="DM697" s="36"/>
      <c r="DN697" s="26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</row>
    <row r="698">
      <c r="A698" s="27"/>
      <c r="B698" s="27"/>
      <c r="C698" s="27"/>
      <c r="D698" s="27"/>
      <c r="E698" s="27"/>
      <c r="F698" s="27"/>
      <c r="G698" s="28"/>
      <c r="H698" s="27"/>
      <c r="I698" s="29"/>
      <c r="J698" s="2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8"/>
      <c r="AR698" s="27"/>
      <c r="AS698" s="29"/>
      <c r="AT698" s="26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8"/>
      <c r="CB698" s="27"/>
      <c r="CC698" s="29"/>
      <c r="CD698" s="26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8"/>
      <c r="DL698" s="27"/>
      <c r="DM698" s="36"/>
      <c r="DN698" s="26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</row>
    <row r="699">
      <c r="A699" s="27"/>
      <c r="B699" s="27"/>
      <c r="C699" s="27"/>
      <c r="D699" s="27"/>
      <c r="E699" s="27"/>
      <c r="F699" s="27"/>
      <c r="G699" s="28"/>
      <c r="H699" s="27"/>
      <c r="I699" s="29"/>
      <c r="J699" s="2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8"/>
      <c r="AR699" s="27"/>
      <c r="AS699" s="29"/>
      <c r="AT699" s="26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8"/>
      <c r="CB699" s="27"/>
      <c r="CC699" s="29"/>
      <c r="CD699" s="26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8"/>
      <c r="DL699" s="27"/>
      <c r="DM699" s="36"/>
      <c r="DN699" s="26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</row>
    <row r="700">
      <c r="A700" s="27"/>
      <c r="B700" s="27"/>
      <c r="C700" s="27"/>
      <c r="D700" s="27"/>
      <c r="E700" s="27"/>
      <c r="F700" s="27"/>
      <c r="G700" s="28"/>
      <c r="H700" s="27"/>
      <c r="I700" s="29"/>
      <c r="J700" s="2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8"/>
      <c r="AR700" s="27"/>
      <c r="AS700" s="29"/>
      <c r="AT700" s="26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8"/>
      <c r="CB700" s="27"/>
      <c r="CC700" s="29"/>
      <c r="CD700" s="26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8"/>
      <c r="DL700" s="27"/>
      <c r="DM700" s="36"/>
      <c r="DN700" s="26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</row>
    <row r="701">
      <c r="A701" s="27"/>
      <c r="B701" s="27"/>
      <c r="C701" s="27"/>
      <c r="D701" s="27"/>
      <c r="E701" s="27"/>
      <c r="F701" s="27"/>
      <c r="G701" s="28"/>
      <c r="H701" s="27"/>
      <c r="I701" s="29"/>
      <c r="J701" s="2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8"/>
      <c r="AR701" s="27"/>
      <c r="AS701" s="29"/>
      <c r="AT701" s="26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8"/>
      <c r="CB701" s="27"/>
      <c r="CC701" s="29"/>
      <c r="CD701" s="26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8"/>
      <c r="DL701" s="27"/>
      <c r="DM701" s="36"/>
      <c r="DN701" s="26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</row>
    <row r="702">
      <c r="A702" s="27"/>
      <c r="B702" s="27"/>
      <c r="C702" s="27"/>
      <c r="D702" s="27"/>
      <c r="E702" s="27"/>
      <c r="F702" s="27"/>
      <c r="G702" s="28"/>
      <c r="H702" s="27"/>
      <c r="I702" s="29"/>
      <c r="J702" s="2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8"/>
      <c r="AR702" s="27"/>
      <c r="AS702" s="29"/>
      <c r="AT702" s="26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8"/>
      <c r="CB702" s="27"/>
      <c r="CC702" s="29"/>
      <c r="CD702" s="26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8"/>
      <c r="DL702" s="27"/>
      <c r="DM702" s="36"/>
      <c r="DN702" s="26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</row>
    <row r="703">
      <c r="A703" s="27"/>
      <c r="B703" s="27"/>
      <c r="C703" s="27"/>
      <c r="D703" s="27"/>
      <c r="E703" s="27"/>
      <c r="F703" s="27"/>
      <c r="G703" s="28"/>
      <c r="H703" s="27"/>
      <c r="I703" s="29"/>
      <c r="J703" s="2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8"/>
      <c r="AR703" s="27"/>
      <c r="AS703" s="29"/>
      <c r="AT703" s="26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8"/>
      <c r="CB703" s="27"/>
      <c r="CC703" s="29"/>
      <c r="CD703" s="26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8"/>
      <c r="DL703" s="27"/>
      <c r="DM703" s="36"/>
      <c r="DN703" s="26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</row>
    <row r="704">
      <c r="A704" s="27"/>
      <c r="B704" s="27"/>
      <c r="C704" s="27"/>
      <c r="D704" s="27"/>
      <c r="E704" s="27"/>
      <c r="F704" s="27"/>
      <c r="G704" s="28"/>
      <c r="H704" s="27"/>
      <c r="I704" s="29"/>
      <c r="J704" s="2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8"/>
      <c r="AR704" s="27"/>
      <c r="AS704" s="29"/>
      <c r="AT704" s="26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8"/>
      <c r="CB704" s="27"/>
      <c r="CC704" s="29"/>
      <c r="CD704" s="26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8"/>
      <c r="DL704" s="27"/>
      <c r="DM704" s="36"/>
      <c r="DN704" s="26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</row>
    <row r="705">
      <c r="A705" s="27"/>
      <c r="B705" s="27"/>
      <c r="C705" s="27"/>
      <c r="D705" s="27"/>
      <c r="E705" s="27"/>
      <c r="F705" s="27"/>
      <c r="G705" s="28"/>
      <c r="H705" s="27"/>
      <c r="I705" s="29"/>
      <c r="J705" s="2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8"/>
      <c r="AR705" s="27"/>
      <c r="AS705" s="29"/>
      <c r="AT705" s="26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8"/>
      <c r="CB705" s="27"/>
      <c r="CC705" s="29"/>
      <c r="CD705" s="26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8"/>
      <c r="DL705" s="27"/>
      <c r="DM705" s="36"/>
      <c r="DN705" s="26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</row>
    <row r="706">
      <c r="A706" s="27"/>
      <c r="B706" s="27"/>
      <c r="C706" s="27"/>
      <c r="D706" s="27"/>
      <c r="E706" s="27"/>
      <c r="F706" s="27"/>
      <c r="G706" s="28"/>
      <c r="H706" s="27"/>
      <c r="I706" s="29"/>
      <c r="J706" s="2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8"/>
      <c r="AR706" s="27"/>
      <c r="AS706" s="29"/>
      <c r="AT706" s="26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8"/>
      <c r="CB706" s="27"/>
      <c r="CC706" s="29"/>
      <c r="CD706" s="26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8"/>
      <c r="DL706" s="27"/>
      <c r="DM706" s="36"/>
      <c r="DN706" s="26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</row>
    <row r="707">
      <c r="A707" s="27"/>
      <c r="B707" s="27"/>
      <c r="C707" s="27"/>
      <c r="D707" s="27"/>
      <c r="E707" s="27"/>
      <c r="F707" s="27"/>
      <c r="G707" s="28"/>
      <c r="H707" s="27"/>
      <c r="I707" s="29"/>
      <c r="J707" s="2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8"/>
      <c r="AR707" s="27"/>
      <c r="AS707" s="29"/>
      <c r="AT707" s="26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8"/>
      <c r="CB707" s="27"/>
      <c r="CC707" s="29"/>
      <c r="CD707" s="26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8"/>
      <c r="DL707" s="27"/>
      <c r="DM707" s="36"/>
      <c r="DN707" s="26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</row>
    <row r="708">
      <c r="A708" s="27"/>
      <c r="B708" s="27"/>
      <c r="C708" s="27"/>
      <c r="D708" s="27"/>
      <c r="E708" s="27"/>
      <c r="F708" s="27"/>
      <c r="G708" s="28"/>
      <c r="H708" s="27"/>
      <c r="I708" s="29"/>
      <c r="J708" s="2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8"/>
      <c r="AR708" s="27"/>
      <c r="AS708" s="29"/>
      <c r="AT708" s="26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8"/>
      <c r="CB708" s="27"/>
      <c r="CC708" s="29"/>
      <c r="CD708" s="26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8"/>
      <c r="DL708" s="27"/>
      <c r="DM708" s="36"/>
      <c r="DN708" s="26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</row>
    <row r="709">
      <c r="A709" s="27"/>
      <c r="B709" s="27"/>
      <c r="C709" s="27"/>
      <c r="D709" s="27"/>
      <c r="E709" s="27"/>
      <c r="F709" s="27"/>
      <c r="G709" s="28"/>
      <c r="H709" s="27"/>
      <c r="I709" s="29"/>
      <c r="J709" s="2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8"/>
      <c r="AR709" s="27"/>
      <c r="AS709" s="29"/>
      <c r="AT709" s="26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8"/>
      <c r="CB709" s="27"/>
      <c r="CC709" s="29"/>
      <c r="CD709" s="26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8"/>
      <c r="DL709" s="27"/>
      <c r="DM709" s="36"/>
      <c r="DN709" s="26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</row>
    <row r="710">
      <c r="A710" s="27"/>
      <c r="B710" s="27"/>
      <c r="C710" s="27"/>
      <c r="D710" s="27"/>
      <c r="E710" s="27"/>
      <c r="F710" s="27"/>
      <c r="G710" s="28"/>
      <c r="H710" s="27"/>
      <c r="I710" s="29"/>
      <c r="J710" s="2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8"/>
      <c r="AR710" s="27"/>
      <c r="AS710" s="29"/>
      <c r="AT710" s="26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8"/>
      <c r="CB710" s="27"/>
      <c r="CC710" s="29"/>
      <c r="CD710" s="26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8"/>
      <c r="DL710" s="27"/>
      <c r="DM710" s="36"/>
      <c r="DN710" s="26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</row>
    <row r="711">
      <c r="A711" s="27"/>
      <c r="B711" s="27"/>
      <c r="C711" s="27"/>
      <c r="D711" s="27"/>
      <c r="E711" s="27"/>
      <c r="F711" s="27"/>
      <c r="G711" s="28"/>
      <c r="H711" s="27"/>
      <c r="I711" s="29"/>
      <c r="J711" s="2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8"/>
      <c r="AR711" s="27"/>
      <c r="AS711" s="29"/>
      <c r="AT711" s="26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8"/>
      <c r="CB711" s="27"/>
      <c r="CC711" s="29"/>
      <c r="CD711" s="26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8"/>
      <c r="DL711" s="27"/>
      <c r="DM711" s="36"/>
      <c r="DN711" s="26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</row>
    <row r="712">
      <c r="A712" s="27"/>
      <c r="B712" s="27"/>
      <c r="C712" s="27"/>
      <c r="D712" s="27"/>
      <c r="E712" s="27"/>
      <c r="F712" s="27"/>
      <c r="G712" s="28"/>
      <c r="H712" s="27"/>
      <c r="I712" s="29"/>
      <c r="J712" s="2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8"/>
      <c r="AR712" s="27"/>
      <c r="AS712" s="29"/>
      <c r="AT712" s="26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8"/>
      <c r="CB712" s="27"/>
      <c r="CC712" s="29"/>
      <c r="CD712" s="26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8"/>
      <c r="DL712" s="27"/>
      <c r="DM712" s="36"/>
      <c r="DN712" s="26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</row>
    <row r="713">
      <c r="A713" s="27"/>
      <c r="B713" s="27"/>
      <c r="C713" s="27"/>
      <c r="D713" s="27"/>
      <c r="E713" s="27"/>
      <c r="F713" s="27"/>
      <c r="G713" s="28"/>
      <c r="H713" s="27"/>
      <c r="I713" s="29"/>
      <c r="J713" s="2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8"/>
      <c r="AR713" s="27"/>
      <c r="AS713" s="29"/>
      <c r="AT713" s="26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8"/>
      <c r="CB713" s="27"/>
      <c r="CC713" s="29"/>
      <c r="CD713" s="26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8"/>
      <c r="DL713" s="27"/>
      <c r="DM713" s="36"/>
      <c r="DN713" s="26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</row>
    <row r="714">
      <c r="A714" s="27"/>
      <c r="B714" s="27"/>
      <c r="C714" s="27"/>
      <c r="D714" s="27"/>
      <c r="E714" s="27"/>
      <c r="F714" s="27"/>
      <c r="G714" s="28"/>
      <c r="H714" s="27"/>
      <c r="I714" s="29"/>
      <c r="J714" s="2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8"/>
      <c r="AR714" s="27"/>
      <c r="AS714" s="29"/>
      <c r="AT714" s="26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8"/>
      <c r="CB714" s="27"/>
      <c r="CC714" s="29"/>
      <c r="CD714" s="26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8"/>
      <c r="DL714" s="27"/>
      <c r="DM714" s="36"/>
      <c r="DN714" s="26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</row>
    <row r="715">
      <c r="A715" s="27"/>
      <c r="B715" s="27"/>
      <c r="C715" s="27"/>
      <c r="D715" s="27"/>
      <c r="E715" s="27"/>
      <c r="F715" s="27"/>
      <c r="G715" s="28"/>
      <c r="H715" s="27"/>
      <c r="I715" s="29"/>
      <c r="J715" s="2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8"/>
      <c r="AR715" s="27"/>
      <c r="AS715" s="29"/>
      <c r="AT715" s="26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8"/>
      <c r="CB715" s="27"/>
      <c r="CC715" s="29"/>
      <c r="CD715" s="26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8"/>
      <c r="DL715" s="27"/>
      <c r="DM715" s="36"/>
      <c r="DN715" s="26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</row>
    <row r="716">
      <c r="A716" s="27"/>
      <c r="B716" s="27"/>
      <c r="C716" s="27"/>
      <c r="D716" s="27"/>
      <c r="E716" s="27"/>
      <c r="F716" s="27"/>
      <c r="G716" s="28"/>
      <c r="H716" s="27"/>
      <c r="I716" s="29"/>
      <c r="J716" s="2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8"/>
      <c r="AR716" s="27"/>
      <c r="AS716" s="29"/>
      <c r="AT716" s="26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8"/>
      <c r="CB716" s="27"/>
      <c r="CC716" s="29"/>
      <c r="CD716" s="26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8"/>
      <c r="DL716" s="27"/>
      <c r="DM716" s="36"/>
      <c r="DN716" s="26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</row>
    <row r="717">
      <c r="A717" s="27"/>
      <c r="B717" s="27"/>
      <c r="C717" s="27"/>
      <c r="D717" s="27"/>
      <c r="E717" s="27"/>
      <c r="F717" s="27"/>
      <c r="G717" s="28"/>
      <c r="H717" s="27"/>
      <c r="I717" s="29"/>
      <c r="J717" s="2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8"/>
      <c r="AR717" s="27"/>
      <c r="AS717" s="29"/>
      <c r="AT717" s="26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8"/>
      <c r="CB717" s="27"/>
      <c r="CC717" s="29"/>
      <c r="CD717" s="26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8"/>
      <c r="DL717" s="27"/>
      <c r="DM717" s="36"/>
      <c r="DN717" s="26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</row>
    <row r="718">
      <c r="A718" s="27"/>
      <c r="B718" s="27"/>
      <c r="C718" s="27"/>
      <c r="D718" s="27"/>
      <c r="E718" s="27"/>
      <c r="F718" s="27"/>
      <c r="G718" s="28"/>
      <c r="H718" s="27"/>
      <c r="I718" s="29"/>
      <c r="J718" s="2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8"/>
      <c r="AR718" s="27"/>
      <c r="AS718" s="29"/>
      <c r="AT718" s="26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8"/>
      <c r="CB718" s="27"/>
      <c r="CC718" s="29"/>
      <c r="CD718" s="26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8"/>
      <c r="DL718" s="27"/>
      <c r="DM718" s="36"/>
      <c r="DN718" s="26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</row>
    <row r="719">
      <c r="A719" s="27"/>
      <c r="B719" s="27"/>
      <c r="C719" s="27"/>
      <c r="D719" s="27"/>
      <c r="E719" s="27"/>
      <c r="F719" s="27"/>
      <c r="G719" s="28"/>
      <c r="H719" s="27"/>
      <c r="I719" s="29"/>
      <c r="J719" s="2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8"/>
      <c r="AR719" s="27"/>
      <c r="AS719" s="29"/>
      <c r="AT719" s="26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8"/>
      <c r="CB719" s="27"/>
      <c r="CC719" s="29"/>
      <c r="CD719" s="26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8"/>
      <c r="DL719" s="27"/>
      <c r="DM719" s="36"/>
      <c r="DN719" s="26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</row>
    <row r="720">
      <c r="A720" s="27"/>
      <c r="B720" s="27"/>
      <c r="C720" s="27"/>
      <c r="D720" s="27"/>
      <c r="E720" s="27"/>
      <c r="F720" s="27"/>
      <c r="G720" s="28"/>
      <c r="H720" s="27"/>
      <c r="I720" s="29"/>
      <c r="J720" s="2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8"/>
      <c r="AR720" s="27"/>
      <c r="AS720" s="29"/>
      <c r="AT720" s="26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8"/>
      <c r="CB720" s="27"/>
      <c r="CC720" s="29"/>
      <c r="CD720" s="26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8"/>
      <c r="DL720" s="27"/>
      <c r="DM720" s="36"/>
      <c r="DN720" s="26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</row>
    <row r="721">
      <c r="A721" s="27"/>
      <c r="B721" s="27"/>
      <c r="C721" s="27"/>
      <c r="D721" s="27"/>
      <c r="E721" s="27"/>
      <c r="F721" s="27"/>
      <c r="G721" s="28"/>
      <c r="H721" s="27"/>
      <c r="I721" s="29"/>
      <c r="J721" s="2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8"/>
      <c r="AR721" s="27"/>
      <c r="AS721" s="29"/>
      <c r="AT721" s="26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8"/>
      <c r="CB721" s="27"/>
      <c r="CC721" s="29"/>
      <c r="CD721" s="26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8"/>
      <c r="DL721" s="27"/>
      <c r="DM721" s="36"/>
      <c r="DN721" s="26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</row>
    <row r="722">
      <c r="A722" s="27"/>
      <c r="B722" s="27"/>
      <c r="C722" s="27"/>
      <c r="D722" s="27"/>
      <c r="E722" s="27"/>
      <c r="F722" s="27"/>
      <c r="G722" s="28"/>
      <c r="H722" s="27"/>
      <c r="I722" s="29"/>
      <c r="J722" s="2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8"/>
      <c r="AR722" s="27"/>
      <c r="AS722" s="29"/>
      <c r="AT722" s="26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8"/>
      <c r="CB722" s="27"/>
      <c r="CC722" s="29"/>
      <c r="CD722" s="26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8"/>
      <c r="DL722" s="27"/>
      <c r="DM722" s="36"/>
      <c r="DN722" s="26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</row>
    <row r="723">
      <c r="A723" s="27"/>
      <c r="B723" s="27"/>
      <c r="C723" s="27"/>
      <c r="D723" s="27"/>
      <c r="E723" s="27"/>
      <c r="F723" s="27"/>
      <c r="G723" s="28"/>
      <c r="H723" s="27"/>
      <c r="I723" s="29"/>
      <c r="J723" s="2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8"/>
      <c r="AR723" s="27"/>
      <c r="AS723" s="29"/>
      <c r="AT723" s="26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8"/>
      <c r="CB723" s="27"/>
      <c r="CC723" s="29"/>
      <c r="CD723" s="26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8"/>
      <c r="DL723" s="27"/>
      <c r="DM723" s="36"/>
      <c r="DN723" s="26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</row>
    <row r="724">
      <c r="A724" s="27"/>
      <c r="B724" s="27"/>
      <c r="C724" s="27"/>
      <c r="D724" s="27"/>
      <c r="E724" s="27"/>
      <c r="F724" s="27"/>
      <c r="G724" s="28"/>
      <c r="H724" s="27"/>
      <c r="I724" s="29"/>
      <c r="J724" s="2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8"/>
      <c r="AR724" s="27"/>
      <c r="AS724" s="29"/>
      <c r="AT724" s="26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8"/>
      <c r="CB724" s="27"/>
      <c r="CC724" s="29"/>
      <c r="CD724" s="26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8"/>
      <c r="DL724" s="27"/>
      <c r="DM724" s="36"/>
      <c r="DN724" s="26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</row>
    <row r="725">
      <c r="A725" s="27"/>
      <c r="B725" s="27"/>
      <c r="C725" s="27"/>
      <c r="D725" s="27"/>
      <c r="E725" s="27"/>
      <c r="F725" s="27"/>
      <c r="G725" s="28"/>
      <c r="H725" s="27"/>
      <c r="I725" s="29"/>
      <c r="J725" s="2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8"/>
      <c r="AR725" s="27"/>
      <c r="AS725" s="29"/>
      <c r="AT725" s="26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8"/>
      <c r="CB725" s="27"/>
      <c r="CC725" s="29"/>
      <c r="CD725" s="26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8"/>
      <c r="DL725" s="27"/>
      <c r="DM725" s="36"/>
      <c r="DN725" s="26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</row>
    <row r="726">
      <c r="A726" s="27"/>
      <c r="B726" s="27"/>
      <c r="C726" s="27"/>
      <c r="D726" s="27"/>
      <c r="E726" s="27"/>
      <c r="F726" s="27"/>
      <c r="G726" s="28"/>
      <c r="H726" s="27"/>
      <c r="I726" s="29"/>
      <c r="J726" s="2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8"/>
      <c r="AR726" s="27"/>
      <c r="AS726" s="29"/>
      <c r="AT726" s="26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8"/>
      <c r="CB726" s="27"/>
      <c r="CC726" s="29"/>
      <c r="CD726" s="26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8"/>
      <c r="DL726" s="27"/>
      <c r="DM726" s="36"/>
      <c r="DN726" s="26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</row>
    <row r="727">
      <c r="A727" s="27"/>
      <c r="B727" s="27"/>
      <c r="C727" s="27"/>
      <c r="D727" s="27"/>
      <c r="E727" s="27"/>
      <c r="F727" s="27"/>
      <c r="G727" s="28"/>
      <c r="H727" s="27"/>
      <c r="I727" s="29"/>
      <c r="J727" s="2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8"/>
      <c r="AR727" s="27"/>
      <c r="AS727" s="29"/>
      <c r="AT727" s="26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8"/>
      <c r="CB727" s="27"/>
      <c r="CC727" s="29"/>
      <c r="CD727" s="26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8"/>
      <c r="DL727" s="27"/>
      <c r="DM727" s="36"/>
      <c r="DN727" s="26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</row>
    <row r="728">
      <c r="A728" s="27"/>
      <c r="B728" s="27"/>
      <c r="C728" s="27"/>
      <c r="D728" s="27"/>
      <c r="E728" s="27"/>
      <c r="F728" s="27"/>
      <c r="G728" s="28"/>
      <c r="H728" s="27"/>
      <c r="I728" s="29"/>
      <c r="J728" s="2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8"/>
      <c r="AR728" s="27"/>
      <c r="AS728" s="29"/>
      <c r="AT728" s="26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8"/>
      <c r="CB728" s="27"/>
      <c r="CC728" s="29"/>
      <c r="CD728" s="26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8"/>
      <c r="DL728" s="27"/>
      <c r="DM728" s="36"/>
      <c r="DN728" s="26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</row>
    <row r="729">
      <c r="A729" s="27"/>
      <c r="B729" s="27"/>
      <c r="C729" s="27"/>
      <c r="D729" s="27"/>
      <c r="E729" s="27"/>
      <c r="F729" s="27"/>
      <c r="G729" s="28"/>
      <c r="H729" s="27"/>
      <c r="I729" s="29"/>
      <c r="J729" s="2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8"/>
      <c r="AR729" s="27"/>
      <c r="AS729" s="29"/>
      <c r="AT729" s="26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8"/>
      <c r="CB729" s="27"/>
      <c r="CC729" s="29"/>
      <c r="CD729" s="26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8"/>
      <c r="DL729" s="27"/>
      <c r="DM729" s="36"/>
      <c r="DN729" s="26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</row>
    <row r="730">
      <c r="A730" s="27"/>
      <c r="B730" s="27"/>
      <c r="C730" s="27"/>
      <c r="D730" s="27"/>
      <c r="E730" s="27"/>
      <c r="F730" s="27"/>
      <c r="G730" s="28"/>
      <c r="H730" s="27"/>
      <c r="I730" s="29"/>
      <c r="J730" s="2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8"/>
      <c r="AR730" s="27"/>
      <c r="AS730" s="29"/>
      <c r="AT730" s="26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8"/>
      <c r="CB730" s="27"/>
      <c r="CC730" s="29"/>
      <c r="CD730" s="26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8"/>
      <c r="DL730" s="27"/>
      <c r="DM730" s="36"/>
      <c r="DN730" s="26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</row>
    <row r="731">
      <c r="A731" s="27"/>
      <c r="B731" s="27"/>
      <c r="C731" s="27"/>
      <c r="D731" s="27"/>
      <c r="E731" s="27"/>
      <c r="F731" s="27"/>
      <c r="G731" s="28"/>
      <c r="H731" s="27"/>
      <c r="I731" s="29"/>
      <c r="J731" s="2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8"/>
      <c r="AR731" s="27"/>
      <c r="AS731" s="29"/>
      <c r="AT731" s="26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8"/>
      <c r="CB731" s="27"/>
      <c r="CC731" s="29"/>
      <c r="CD731" s="26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8"/>
      <c r="DL731" s="27"/>
      <c r="DM731" s="36"/>
      <c r="DN731" s="26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</row>
    <row r="732">
      <c r="A732" s="27"/>
      <c r="B732" s="27"/>
      <c r="C732" s="27"/>
      <c r="D732" s="27"/>
      <c r="E732" s="27"/>
      <c r="F732" s="27"/>
      <c r="G732" s="28"/>
      <c r="H732" s="27"/>
      <c r="I732" s="29"/>
      <c r="J732" s="2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8"/>
      <c r="AR732" s="27"/>
      <c r="AS732" s="29"/>
      <c r="AT732" s="26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8"/>
      <c r="CB732" s="27"/>
      <c r="CC732" s="29"/>
      <c r="CD732" s="26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8"/>
      <c r="DL732" s="27"/>
      <c r="DM732" s="36"/>
      <c r="DN732" s="26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</row>
    <row r="733">
      <c r="A733" s="27"/>
      <c r="B733" s="27"/>
      <c r="C733" s="27"/>
      <c r="D733" s="27"/>
      <c r="E733" s="27"/>
      <c r="F733" s="27"/>
      <c r="G733" s="28"/>
      <c r="H733" s="27"/>
      <c r="I733" s="29"/>
      <c r="J733" s="2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8"/>
      <c r="AR733" s="27"/>
      <c r="AS733" s="29"/>
      <c r="AT733" s="26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8"/>
      <c r="CB733" s="27"/>
      <c r="CC733" s="29"/>
      <c r="CD733" s="26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8"/>
      <c r="DL733" s="27"/>
      <c r="DM733" s="36"/>
      <c r="DN733" s="26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</row>
    <row r="734">
      <c r="A734" s="27"/>
      <c r="B734" s="27"/>
      <c r="C734" s="27"/>
      <c r="D734" s="27"/>
      <c r="E734" s="27"/>
      <c r="F734" s="27"/>
      <c r="G734" s="28"/>
      <c r="H734" s="27"/>
      <c r="I734" s="29"/>
      <c r="J734" s="2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8"/>
      <c r="AR734" s="27"/>
      <c r="AS734" s="29"/>
      <c r="AT734" s="26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8"/>
      <c r="CB734" s="27"/>
      <c r="CC734" s="29"/>
      <c r="CD734" s="26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8"/>
      <c r="DL734" s="27"/>
      <c r="DM734" s="36"/>
      <c r="DN734" s="26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</row>
    <row r="735">
      <c r="A735" s="27"/>
      <c r="B735" s="27"/>
      <c r="C735" s="27"/>
      <c r="D735" s="27"/>
      <c r="E735" s="27"/>
      <c r="F735" s="27"/>
      <c r="G735" s="28"/>
      <c r="H735" s="27"/>
      <c r="I735" s="29"/>
      <c r="J735" s="2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8"/>
      <c r="AR735" s="27"/>
      <c r="AS735" s="29"/>
      <c r="AT735" s="26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8"/>
      <c r="CB735" s="27"/>
      <c r="CC735" s="29"/>
      <c r="CD735" s="26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8"/>
      <c r="DL735" s="27"/>
      <c r="DM735" s="36"/>
      <c r="DN735" s="26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</row>
    <row r="736">
      <c r="A736" s="27"/>
      <c r="B736" s="27"/>
      <c r="C736" s="27"/>
      <c r="D736" s="27"/>
      <c r="E736" s="27"/>
      <c r="F736" s="27"/>
      <c r="G736" s="28"/>
      <c r="H736" s="27"/>
      <c r="I736" s="29"/>
      <c r="J736" s="2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8"/>
      <c r="AR736" s="27"/>
      <c r="AS736" s="29"/>
      <c r="AT736" s="26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8"/>
      <c r="CB736" s="27"/>
      <c r="CC736" s="29"/>
      <c r="CD736" s="26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8"/>
      <c r="DL736" s="27"/>
      <c r="DM736" s="36"/>
      <c r="DN736" s="26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</row>
    <row r="737">
      <c r="A737" s="27"/>
      <c r="B737" s="27"/>
      <c r="C737" s="27"/>
      <c r="D737" s="27"/>
      <c r="E737" s="27"/>
      <c r="F737" s="27"/>
      <c r="G737" s="28"/>
      <c r="H737" s="27"/>
      <c r="I737" s="29"/>
      <c r="J737" s="2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8"/>
      <c r="AR737" s="27"/>
      <c r="AS737" s="29"/>
      <c r="AT737" s="26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8"/>
      <c r="CB737" s="27"/>
      <c r="CC737" s="29"/>
      <c r="CD737" s="26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8"/>
      <c r="DL737" s="27"/>
      <c r="DM737" s="36"/>
      <c r="DN737" s="26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</row>
    <row r="738">
      <c r="A738" s="27"/>
      <c r="B738" s="27"/>
      <c r="C738" s="27"/>
      <c r="D738" s="27"/>
      <c r="E738" s="27"/>
      <c r="F738" s="27"/>
      <c r="G738" s="28"/>
      <c r="H738" s="27"/>
      <c r="I738" s="29"/>
      <c r="J738" s="2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8"/>
      <c r="AR738" s="27"/>
      <c r="AS738" s="29"/>
      <c r="AT738" s="26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8"/>
      <c r="CB738" s="27"/>
      <c r="CC738" s="29"/>
      <c r="CD738" s="26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8"/>
      <c r="DL738" s="27"/>
      <c r="DM738" s="36"/>
      <c r="DN738" s="26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</row>
    <row r="739">
      <c r="A739" s="27"/>
      <c r="B739" s="27"/>
      <c r="C739" s="27"/>
      <c r="D739" s="27"/>
      <c r="E739" s="27"/>
      <c r="F739" s="27"/>
      <c r="G739" s="28"/>
      <c r="H739" s="27"/>
      <c r="I739" s="29"/>
      <c r="J739" s="2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8"/>
      <c r="AR739" s="27"/>
      <c r="AS739" s="29"/>
      <c r="AT739" s="26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8"/>
      <c r="CB739" s="27"/>
      <c r="CC739" s="29"/>
      <c r="CD739" s="26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8"/>
      <c r="DL739" s="27"/>
      <c r="DM739" s="36"/>
      <c r="DN739" s="26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</row>
    <row r="740">
      <c r="A740" s="27"/>
      <c r="B740" s="27"/>
      <c r="C740" s="27"/>
      <c r="D740" s="27"/>
      <c r="E740" s="27"/>
      <c r="F740" s="27"/>
      <c r="G740" s="28"/>
      <c r="H740" s="27"/>
      <c r="I740" s="29"/>
      <c r="J740" s="2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8"/>
      <c r="AR740" s="27"/>
      <c r="AS740" s="29"/>
      <c r="AT740" s="26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8"/>
      <c r="CB740" s="27"/>
      <c r="CC740" s="29"/>
      <c r="CD740" s="26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8"/>
      <c r="DL740" s="27"/>
      <c r="DM740" s="36"/>
      <c r="DN740" s="26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</row>
    <row r="741">
      <c r="A741" s="27"/>
      <c r="B741" s="27"/>
      <c r="C741" s="27"/>
      <c r="D741" s="27"/>
      <c r="E741" s="27"/>
      <c r="F741" s="27"/>
      <c r="G741" s="28"/>
      <c r="H741" s="27"/>
      <c r="I741" s="29"/>
      <c r="J741" s="2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8"/>
      <c r="AR741" s="27"/>
      <c r="AS741" s="29"/>
      <c r="AT741" s="26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8"/>
      <c r="CB741" s="27"/>
      <c r="CC741" s="29"/>
      <c r="CD741" s="26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8"/>
      <c r="DL741" s="27"/>
      <c r="DM741" s="36"/>
      <c r="DN741" s="26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</row>
    <row r="742">
      <c r="A742" s="27"/>
      <c r="B742" s="27"/>
      <c r="C742" s="27"/>
      <c r="D742" s="27"/>
      <c r="E742" s="27"/>
      <c r="F742" s="27"/>
      <c r="G742" s="28"/>
      <c r="H742" s="27"/>
      <c r="I742" s="29"/>
      <c r="J742" s="2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8"/>
      <c r="AR742" s="27"/>
      <c r="AS742" s="29"/>
      <c r="AT742" s="26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8"/>
      <c r="CB742" s="27"/>
      <c r="CC742" s="29"/>
      <c r="CD742" s="26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8"/>
      <c r="DL742" s="27"/>
      <c r="DM742" s="36"/>
      <c r="DN742" s="26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</row>
    <row r="743">
      <c r="A743" s="27"/>
      <c r="B743" s="27"/>
      <c r="C743" s="27"/>
      <c r="D743" s="27"/>
      <c r="E743" s="27"/>
      <c r="F743" s="27"/>
      <c r="G743" s="28"/>
      <c r="H743" s="27"/>
      <c r="I743" s="29"/>
      <c r="J743" s="2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8"/>
      <c r="AR743" s="27"/>
      <c r="AS743" s="29"/>
      <c r="AT743" s="26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8"/>
      <c r="CB743" s="27"/>
      <c r="CC743" s="29"/>
      <c r="CD743" s="26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8"/>
      <c r="DL743" s="27"/>
      <c r="DM743" s="36"/>
      <c r="DN743" s="26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</row>
    <row r="744">
      <c r="A744" s="27"/>
      <c r="B744" s="27"/>
      <c r="C744" s="27"/>
      <c r="D744" s="27"/>
      <c r="E744" s="27"/>
      <c r="F744" s="27"/>
      <c r="G744" s="28"/>
      <c r="H744" s="27"/>
      <c r="I744" s="29"/>
      <c r="J744" s="2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8"/>
      <c r="AR744" s="27"/>
      <c r="AS744" s="29"/>
      <c r="AT744" s="26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8"/>
      <c r="CB744" s="27"/>
      <c r="CC744" s="29"/>
      <c r="CD744" s="26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8"/>
      <c r="DL744" s="27"/>
      <c r="DM744" s="36"/>
      <c r="DN744" s="26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</row>
    <row r="745">
      <c r="A745" s="27"/>
      <c r="B745" s="27"/>
      <c r="C745" s="27"/>
      <c r="D745" s="27"/>
      <c r="E745" s="27"/>
      <c r="F745" s="27"/>
      <c r="G745" s="28"/>
      <c r="H745" s="27"/>
      <c r="I745" s="29"/>
      <c r="J745" s="2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8"/>
      <c r="AR745" s="27"/>
      <c r="AS745" s="29"/>
      <c r="AT745" s="26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8"/>
      <c r="CB745" s="27"/>
      <c r="CC745" s="29"/>
      <c r="CD745" s="26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8"/>
      <c r="DL745" s="27"/>
      <c r="DM745" s="36"/>
      <c r="DN745" s="26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</row>
    <row r="746">
      <c r="A746" s="27"/>
      <c r="B746" s="27"/>
      <c r="C746" s="27"/>
      <c r="D746" s="27"/>
      <c r="E746" s="27"/>
      <c r="F746" s="27"/>
      <c r="G746" s="28"/>
      <c r="H746" s="27"/>
      <c r="I746" s="29"/>
      <c r="J746" s="2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8"/>
      <c r="AR746" s="27"/>
      <c r="AS746" s="29"/>
      <c r="AT746" s="26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8"/>
      <c r="CB746" s="27"/>
      <c r="CC746" s="29"/>
      <c r="CD746" s="26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8"/>
      <c r="DL746" s="27"/>
      <c r="DM746" s="36"/>
      <c r="DN746" s="26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</row>
    <row r="747">
      <c r="A747" s="27"/>
      <c r="B747" s="27"/>
      <c r="C747" s="27"/>
      <c r="D747" s="27"/>
      <c r="E747" s="27"/>
      <c r="F747" s="27"/>
      <c r="G747" s="28"/>
      <c r="H747" s="27"/>
      <c r="I747" s="29"/>
      <c r="J747" s="2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8"/>
      <c r="AR747" s="27"/>
      <c r="AS747" s="29"/>
      <c r="AT747" s="26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8"/>
      <c r="CB747" s="27"/>
      <c r="CC747" s="29"/>
      <c r="CD747" s="26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8"/>
      <c r="DL747" s="27"/>
      <c r="DM747" s="36"/>
      <c r="DN747" s="26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</row>
    <row r="748">
      <c r="A748" s="27"/>
      <c r="B748" s="27"/>
      <c r="C748" s="27"/>
      <c r="D748" s="27"/>
      <c r="E748" s="27"/>
      <c r="F748" s="27"/>
      <c r="G748" s="28"/>
      <c r="H748" s="27"/>
      <c r="I748" s="29"/>
      <c r="J748" s="2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8"/>
      <c r="AR748" s="27"/>
      <c r="AS748" s="29"/>
      <c r="AT748" s="26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8"/>
      <c r="CB748" s="27"/>
      <c r="CC748" s="29"/>
      <c r="CD748" s="26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8"/>
      <c r="DL748" s="27"/>
      <c r="DM748" s="36"/>
      <c r="DN748" s="26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</row>
    <row r="749">
      <c r="A749" s="27"/>
      <c r="B749" s="27"/>
      <c r="C749" s="27"/>
      <c r="D749" s="27"/>
      <c r="E749" s="27"/>
      <c r="F749" s="27"/>
      <c r="G749" s="28"/>
      <c r="H749" s="27"/>
      <c r="I749" s="29"/>
      <c r="J749" s="2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8"/>
      <c r="AR749" s="27"/>
      <c r="AS749" s="29"/>
      <c r="AT749" s="26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8"/>
      <c r="CB749" s="27"/>
      <c r="CC749" s="29"/>
      <c r="CD749" s="26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8"/>
      <c r="DL749" s="27"/>
      <c r="DM749" s="36"/>
      <c r="DN749" s="26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</row>
    <row r="750">
      <c r="A750" s="27"/>
      <c r="B750" s="27"/>
      <c r="C750" s="27"/>
      <c r="D750" s="27"/>
      <c r="E750" s="27"/>
      <c r="F750" s="27"/>
      <c r="G750" s="28"/>
      <c r="H750" s="27"/>
      <c r="I750" s="29"/>
      <c r="J750" s="2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8"/>
      <c r="AR750" s="27"/>
      <c r="AS750" s="29"/>
      <c r="AT750" s="26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8"/>
      <c r="CB750" s="27"/>
      <c r="CC750" s="29"/>
      <c r="CD750" s="26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8"/>
      <c r="DL750" s="27"/>
      <c r="DM750" s="36"/>
      <c r="DN750" s="26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</row>
    <row r="751">
      <c r="A751" s="27"/>
      <c r="B751" s="27"/>
      <c r="C751" s="27"/>
      <c r="D751" s="27"/>
      <c r="E751" s="27"/>
      <c r="F751" s="27"/>
      <c r="G751" s="28"/>
      <c r="H751" s="27"/>
      <c r="I751" s="29"/>
      <c r="J751" s="2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8"/>
      <c r="AR751" s="27"/>
      <c r="AS751" s="29"/>
      <c r="AT751" s="26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8"/>
      <c r="CB751" s="27"/>
      <c r="CC751" s="29"/>
      <c r="CD751" s="26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8"/>
      <c r="DL751" s="27"/>
      <c r="DM751" s="36"/>
      <c r="DN751" s="26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</row>
    <row r="752">
      <c r="A752" s="27"/>
      <c r="B752" s="27"/>
      <c r="C752" s="27"/>
      <c r="D752" s="27"/>
      <c r="E752" s="27"/>
      <c r="F752" s="27"/>
      <c r="G752" s="28"/>
      <c r="H752" s="27"/>
      <c r="I752" s="29"/>
      <c r="J752" s="2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8"/>
      <c r="AR752" s="27"/>
      <c r="AS752" s="29"/>
      <c r="AT752" s="26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8"/>
      <c r="CB752" s="27"/>
      <c r="CC752" s="29"/>
      <c r="CD752" s="26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8"/>
      <c r="DL752" s="27"/>
      <c r="DM752" s="36"/>
      <c r="DN752" s="26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</row>
    <row r="753">
      <c r="A753" s="27"/>
      <c r="B753" s="27"/>
      <c r="C753" s="27"/>
      <c r="D753" s="27"/>
      <c r="E753" s="27"/>
      <c r="F753" s="27"/>
      <c r="G753" s="28"/>
      <c r="H753" s="27"/>
      <c r="I753" s="29"/>
      <c r="J753" s="2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8"/>
      <c r="AR753" s="27"/>
      <c r="AS753" s="29"/>
      <c r="AT753" s="26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8"/>
      <c r="CB753" s="27"/>
      <c r="CC753" s="29"/>
      <c r="CD753" s="26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8"/>
      <c r="DL753" s="27"/>
      <c r="DM753" s="36"/>
      <c r="DN753" s="26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</row>
    <row r="754">
      <c r="A754" s="27"/>
      <c r="B754" s="27"/>
      <c r="C754" s="27"/>
      <c r="D754" s="27"/>
      <c r="E754" s="27"/>
      <c r="F754" s="27"/>
      <c r="G754" s="28"/>
      <c r="H754" s="27"/>
      <c r="I754" s="29"/>
      <c r="J754" s="2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8"/>
      <c r="AR754" s="27"/>
      <c r="AS754" s="29"/>
      <c r="AT754" s="26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8"/>
      <c r="CB754" s="27"/>
      <c r="CC754" s="29"/>
      <c r="CD754" s="26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8"/>
      <c r="DL754" s="27"/>
      <c r="DM754" s="36"/>
      <c r="DN754" s="26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</row>
    <row r="755">
      <c r="A755" s="27"/>
      <c r="B755" s="27"/>
      <c r="C755" s="27"/>
      <c r="D755" s="27"/>
      <c r="E755" s="27"/>
      <c r="F755" s="27"/>
      <c r="G755" s="28"/>
      <c r="H755" s="27"/>
      <c r="I755" s="29"/>
      <c r="J755" s="2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8"/>
      <c r="AR755" s="27"/>
      <c r="AS755" s="29"/>
      <c r="AT755" s="26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8"/>
      <c r="CB755" s="27"/>
      <c r="CC755" s="29"/>
      <c r="CD755" s="26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8"/>
      <c r="DL755" s="27"/>
      <c r="DM755" s="36"/>
      <c r="DN755" s="26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</row>
    <row r="756">
      <c r="A756" s="27"/>
      <c r="B756" s="27"/>
      <c r="C756" s="27"/>
      <c r="D756" s="27"/>
      <c r="E756" s="27"/>
      <c r="F756" s="27"/>
      <c r="G756" s="28"/>
      <c r="H756" s="27"/>
      <c r="I756" s="29"/>
      <c r="J756" s="2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8"/>
      <c r="AR756" s="27"/>
      <c r="AS756" s="29"/>
      <c r="AT756" s="26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8"/>
      <c r="CB756" s="27"/>
      <c r="CC756" s="29"/>
      <c r="CD756" s="26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8"/>
      <c r="DL756" s="27"/>
      <c r="DM756" s="36"/>
      <c r="DN756" s="26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</row>
    <row r="757">
      <c r="A757" s="27"/>
      <c r="B757" s="27"/>
      <c r="C757" s="27"/>
      <c r="D757" s="27"/>
      <c r="E757" s="27"/>
      <c r="F757" s="27"/>
      <c r="G757" s="28"/>
      <c r="H757" s="27"/>
      <c r="I757" s="29"/>
      <c r="J757" s="2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8"/>
      <c r="AR757" s="27"/>
      <c r="AS757" s="29"/>
      <c r="AT757" s="26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8"/>
      <c r="CB757" s="27"/>
      <c r="CC757" s="29"/>
      <c r="CD757" s="26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8"/>
      <c r="DL757" s="27"/>
      <c r="DM757" s="36"/>
      <c r="DN757" s="26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</row>
    <row r="758">
      <c r="A758" s="27"/>
      <c r="B758" s="27"/>
      <c r="C758" s="27"/>
      <c r="D758" s="27"/>
      <c r="E758" s="27"/>
      <c r="F758" s="27"/>
      <c r="G758" s="28"/>
      <c r="H758" s="27"/>
      <c r="I758" s="29"/>
      <c r="J758" s="2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8"/>
      <c r="AR758" s="27"/>
      <c r="AS758" s="29"/>
      <c r="AT758" s="26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8"/>
      <c r="CB758" s="27"/>
      <c r="CC758" s="29"/>
      <c r="CD758" s="26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8"/>
      <c r="DL758" s="27"/>
      <c r="DM758" s="36"/>
      <c r="DN758" s="26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</row>
    <row r="759">
      <c r="A759" s="27"/>
      <c r="B759" s="27"/>
      <c r="C759" s="27"/>
      <c r="D759" s="27"/>
      <c r="E759" s="27"/>
      <c r="F759" s="27"/>
      <c r="G759" s="28"/>
      <c r="H759" s="27"/>
      <c r="I759" s="29"/>
      <c r="J759" s="2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8"/>
      <c r="AR759" s="27"/>
      <c r="AS759" s="29"/>
      <c r="AT759" s="26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8"/>
      <c r="CB759" s="27"/>
      <c r="CC759" s="29"/>
      <c r="CD759" s="26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8"/>
      <c r="DL759" s="27"/>
      <c r="DM759" s="36"/>
      <c r="DN759" s="26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</row>
    <row r="760">
      <c r="A760" s="27"/>
      <c r="B760" s="27"/>
      <c r="C760" s="27"/>
      <c r="D760" s="27"/>
      <c r="E760" s="27"/>
      <c r="F760" s="27"/>
      <c r="G760" s="28"/>
      <c r="H760" s="27"/>
      <c r="I760" s="29"/>
      <c r="J760" s="2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8"/>
      <c r="AR760" s="27"/>
      <c r="AS760" s="29"/>
      <c r="AT760" s="26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8"/>
      <c r="CB760" s="27"/>
      <c r="CC760" s="29"/>
      <c r="CD760" s="26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8"/>
      <c r="DL760" s="27"/>
      <c r="DM760" s="36"/>
      <c r="DN760" s="26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</row>
    <row r="761">
      <c r="A761" s="27"/>
      <c r="B761" s="27"/>
      <c r="C761" s="27"/>
      <c r="D761" s="27"/>
      <c r="E761" s="27"/>
      <c r="F761" s="27"/>
      <c r="G761" s="28"/>
      <c r="H761" s="27"/>
      <c r="I761" s="29"/>
      <c r="J761" s="2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8"/>
      <c r="AR761" s="27"/>
      <c r="AS761" s="29"/>
      <c r="AT761" s="26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8"/>
      <c r="CB761" s="27"/>
      <c r="CC761" s="29"/>
      <c r="CD761" s="26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8"/>
      <c r="DL761" s="27"/>
      <c r="DM761" s="36"/>
      <c r="DN761" s="26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</row>
    <row r="762">
      <c r="A762" s="27"/>
      <c r="B762" s="27"/>
      <c r="C762" s="27"/>
      <c r="D762" s="27"/>
      <c r="E762" s="27"/>
      <c r="F762" s="27"/>
      <c r="G762" s="28"/>
      <c r="H762" s="27"/>
      <c r="I762" s="29"/>
      <c r="J762" s="2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8"/>
      <c r="AR762" s="27"/>
      <c r="AS762" s="29"/>
      <c r="AT762" s="26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8"/>
      <c r="CB762" s="27"/>
      <c r="CC762" s="29"/>
      <c r="CD762" s="26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8"/>
      <c r="DL762" s="27"/>
      <c r="DM762" s="36"/>
      <c r="DN762" s="26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</row>
    <row r="763">
      <c r="A763" s="27"/>
      <c r="B763" s="27"/>
      <c r="C763" s="27"/>
      <c r="D763" s="27"/>
      <c r="E763" s="27"/>
      <c r="F763" s="27"/>
      <c r="G763" s="28"/>
      <c r="H763" s="27"/>
      <c r="I763" s="29"/>
      <c r="J763" s="2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8"/>
      <c r="AR763" s="27"/>
      <c r="AS763" s="29"/>
      <c r="AT763" s="26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8"/>
      <c r="CB763" s="27"/>
      <c r="CC763" s="29"/>
      <c r="CD763" s="26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8"/>
      <c r="DL763" s="27"/>
      <c r="DM763" s="36"/>
      <c r="DN763" s="26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</row>
    <row r="764">
      <c r="A764" s="27"/>
      <c r="B764" s="27"/>
      <c r="C764" s="27"/>
      <c r="D764" s="27"/>
      <c r="E764" s="27"/>
      <c r="F764" s="27"/>
      <c r="G764" s="28"/>
      <c r="H764" s="27"/>
      <c r="I764" s="29"/>
      <c r="J764" s="2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8"/>
      <c r="AR764" s="27"/>
      <c r="AS764" s="29"/>
      <c r="AT764" s="26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8"/>
      <c r="CB764" s="27"/>
      <c r="CC764" s="29"/>
      <c r="CD764" s="26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8"/>
      <c r="DL764" s="27"/>
      <c r="DM764" s="36"/>
      <c r="DN764" s="26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</row>
    <row r="765">
      <c r="A765" s="27"/>
      <c r="B765" s="27"/>
      <c r="C765" s="27"/>
      <c r="D765" s="27"/>
      <c r="E765" s="27"/>
      <c r="F765" s="27"/>
      <c r="G765" s="28"/>
      <c r="H765" s="27"/>
      <c r="I765" s="29"/>
      <c r="J765" s="2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8"/>
      <c r="AR765" s="27"/>
      <c r="AS765" s="29"/>
      <c r="AT765" s="26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8"/>
      <c r="CB765" s="27"/>
      <c r="CC765" s="29"/>
      <c r="CD765" s="26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8"/>
      <c r="DL765" s="27"/>
      <c r="DM765" s="36"/>
      <c r="DN765" s="26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</row>
    <row r="766">
      <c r="A766" s="27"/>
      <c r="B766" s="27"/>
      <c r="C766" s="27"/>
      <c r="D766" s="27"/>
      <c r="E766" s="27"/>
      <c r="F766" s="27"/>
      <c r="G766" s="28"/>
      <c r="H766" s="27"/>
      <c r="I766" s="29"/>
      <c r="J766" s="2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8"/>
      <c r="AR766" s="27"/>
      <c r="AS766" s="29"/>
      <c r="AT766" s="26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8"/>
      <c r="CB766" s="27"/>
      <c r="CC766" s="29"/>
      <c r="CD766" s="26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8"/>
      <c r="DL766" s="27"/>
      <c r="DM766" s="36"/>
      <c r="DN766" s="26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</row>
    <row r="767">
      <c r="A767" s="27"/>
      <c r="B767" s="27"/>
      <c r="C767" s="27"/>
      <c r="D767" s="27"/>
      <c r="E767" s="27"/>
      <c r="F767" s="27"/>
      <c r="G767" s="28"/>
      <c r="H767" s="27"/>
      <c r="I767" s="29"/>
      <c r="J767" s="2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8"/>
      <c r="AR767" s="27"/>
      <c r="AS767" s="29"/>
      <c r="AT767" s="26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8"/>
      <c r="CB767" s="27"/>
      <c r="CC767" s="29"/>
      <c r="CD767" s="26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8"/>
      <c r="DL767" s="27"/>
      <c r="DM767" s="36"/>
      <c r="DN767" s="26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</row>
    <row r="768">
      <c r="A768" s="27"/>
      <c r="B768" s="27"/>
      <c r="C768" s="27"/>
      <c r="D768" s="27"/>
      <c r="E768" s="27"/>
      <c r="F768" s="27"/>
      <c r="G768" s="28"/>
      <c r="H768" s="27"/>
      <c r="I768" s="29"/>
      <c r="J768" s="2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8"/>
      <c r="AR768" s="27"/>
      <c r="AS768" s="29"/>
      <c r="AT768" s="26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8"/>
      <c r="CB768" s="27"/>
      <c r="CC768" s="29"/>
      <c r="CD768" s="26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8"/>
      <c r="DL768" s="27"/>
      <c r="DM768" s="36"/>
      <c r="DN768" s="26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</row>
    <row r="769">
      <c r="A769" s="27"/>
      <c r="B769" s="27"/>
      <c r="C769" s="27"/>
      <c r="D769" s="27"/>
      <c r="E769" s="27"/>
      <c r="F769" s="27"/>
      <c r="G769" s="28"/>
      <c r="H769" s="27"/>
      <c r="I769" s="29"/>
      <c r="J769" s="2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8"/>
      <c r="AR769" s="27"/>
      <c r="AS769" s="29"/>
      <c r="AT769" s="26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8"/>
      <c r="CB769" s="27"/>
      <c r="CC769" s="29"/>
      <c r="CD769" s="26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8"/>
      <c r="DL769" s="27"/>
      <c r="DM769" s="36"/>
      <c r="DN769" s="26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</row>
    <row r="770">
      <c r="A770" s="27"/>
      <c r="B770" s="27"/>
      <c r="C770" s="27"/>
      <c r="D770" s="27"/>
      <c r="E770" s="27"/>
      <c r="F770" s="27"/>
      <c r="G770" s="28"/>
      <c r="H770" s="27"/>
      <c r="I770" s="29"/>
      <c r="J770" s="2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8"/>
      <c r="AR770" s="27"/>
      <c r="AS770" s="29"/>
      <c r="AT770" s="26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8"/>
      <c r="CB770" s="27"/>
      <c r="CC770" s="29"/>
      <c r="CD770" s="26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8"/>
      <c r="DL770" s="27"/>
      <c r="DM770" s="36"/>
      <c r="DN770" s="26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</row>
    <row r="771">
      <c r="A771" s="27"/>
      <c r="B771" s="27"/>
      <c r="C771" s="27"/>
      <c r="D771" s="27"/>
      <c r="E771" s="27"/>
      <c r="F771" s="27"/>
      <c r="G771" s="28"/>
      <c r="H771" s="27"/>
      <c r="I771" s="29"/>
      <c r="J771" s="2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8"/>
      <c r="AR771" s="27"/>
      <c r="AS771" s="29"/>
      <c r="AT771" s="26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8"/>
      <c r="CB771" s="27"/>
      <c r="CC771" s="29"/>
      <c r="CD771" s="26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8"/>
      <c r="DL771" s="27"/>
      <c r="DM771" s="36"/>
      <c r="DN771" s="26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</row>
    <row r="772">
      <c r="A772" s="27"/>
      <c r="B772" s="27"/>
      <c r="C772" s="27"/>
      <c r="D772" s="27"/>
      <c r="E772" s="27"/>
      <c r="F772" s="27"/>
      <c r="G772" s="28"/>
      <c r="H772" s="27"/>
      <c r="I772" s="29"/>
      <c r="J772" s="2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8"/>
      <c r="AR772" s="27"/>
      <c r="AS772" s="29"/>
      <c r="AT772" s="26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8"/>
      <c r="CB772" s="27"/>
      <c r="CC772" s="29"/>
      <c r="CD772" s="26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8"/>
      <c r="DL772" s="27"/>
      <c r="DM772" s="36"/>
      <c r="DN772" s="26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</row>
    <row r="773">
      <c r="A773" s="27"/>
      <c r="B773" s="27"/>
      <c r="C773" s="27"/>
      <c r="D773" s="27"/>
      <c r="E773" s="27"/>
      <c r="F773" s="27"/>
      <c r="G773" s="28"/>
      <c r="H773" s="27"/>
      <c r="I773" s="29"/>
      <c r="J773" s="2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8"/>
      <c r="AR773" s="27"/>
      <c r="AS773" s="29"/>
      <c r="AT773" s="26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8"/>
      <c r="CB773" s="27"/>
      <c r="CC773" s="29"/>
      <c r="CD773" s="26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8"/>
      <c r="DL773" s="27"/>
      <c r="DM773" s="36"/>
      <c r="DN773" s="26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</row>
    <row r="774">
      <c r="A774" s="27"/>
      <c r="B774" s="27"/>
      <c r="C774" s="27"/>
      <c r="D774" s="27"/>
      <c r="E774" s="27"/>
      <c r="F774" s="27"/>
      <c r="G774" s="28"/>
      <c r="H774" s="27"/>
      <c r="I774" s="29"/>
      <c r="J774" s="2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8"/>
      <c r="AR774" s="27"/>
      <c r="AS774" s="29"/>
      <c r="AT774" s="26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8"/>
      <c r="CB774" s="27"/>
      <c r="CC774" s="29"/>
      <c r="CD774" s="26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8"/>
      <c r="DL774" s="27"/>
      <c r="DM774" s="36"/>
      <c r="DN774" s="26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</row>
    <row r="775">
      <c r="A775" s="27"/>
      <c r="B775" s="27"/>
      <c r="C775" s="27"/>
      <c r="D775" s="27"/>
      <c r="E775" s="27"/>
      <c r="F775" s="27"/>
      <c r="G775" s="28"/>
      <c r="H775" s="27"/>
      <c r="I775" s="29"/>
      <c r="J775" s="2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8"/>
      <c r="AR775" s="27"/>
      <c r="AS775" s="29"/>
      <c r="AT775" s="26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8"/>
      <c r="CB775" s="27"/>
      <c r="CC775" s="29"/>
      <c r="CD775" s="26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8"/>
      <c r="DL775" s="27"/>
      <c r="DM775" s="36"/>
      <c r="DN775" s="26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</row>
    <row r="776">
      <c r="A776" s="27"/>
      <c r="B776" s="27"/>
      <c r="C776" s="27"/>
      <c r="D776" s="27"/>
      <c r="E776" s="27"/>
      <c r="F776" s="27"/>
      <c r="G776" s="28"/>
      <c r="H776" s="27"/>
      <c r="I776" s="29"/>
      <c r="J776" s="2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8"/>
      <c r="AR776" s="27"/>
      <c r="AS776" s="29"/>
      <c r="AT776" s="26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8"/>
      <c r="CB776" s="27"/>
      <c r="CC776" s="29"/>
      <c r="CD776" s="26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8"/>
      <c r="DL776" s="27"/>
      <c r="DM776" s="36"/>
      <c r="DN776" s="26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</row>
    <row r="777">
      <c r="A777" s="27"/>
      <c r="B777" s="27"/>
      <c r="C777" s="27"/>
      <c r="D777" s="27"/>
      <c r="E777" s="27"/>
      <c r="F777" s="27"/>
      <c r="G777" s="28"/>
      <c r="H777" s="27"/>
      <c r="I777" s="29"/>
      <c r="J777" s="2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8"/>
      <c r="AR777" s="27"/>
      <c r="AS777" s="29"/>
      <c r="AT777" s="26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8"/>
      <c r="CB777" s="27"/>
      <c r="CC777" s="29"/>
      <c r="CD777" s="26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8"/>
      <c r="DL777" s="27"/>
      <c r="DM777" s="36"/>
      <c r="DN777" s="26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</row>
    <row r="778">
      <c r="A778" s="27"/>
      <c r="B778" s="27"/>
      <c r="C778" s="27"/>
      <c r="D778" s="27"/>
      <c r="E778" s="27"/>
      <c r="F778" s="27"/>
      <c r="G778" s="28"/>
      <c r="H778" s="27"/>
      <c r="I778" s="29"/>
      <c r="J778" s="2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8"/>
      <c r="AR778" s="27"/>
      <c r="AS778" s="29"/>
      <c r="AT778" s="26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8"/>
      <c r="CB778" s="27"/>
      <c r="CC778" s="29"/>
      <c r="CD778" s="26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8"/>
      <c r="DL778" s="27"/>
      <c r="DM778" s="36"/>
      <c r="DN778" s="26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</row>
    <row r="779">
      <c r="A779" s="27"/>
      <c r="B779" s="27"/>
      <c r="C779" s="27"/>
      <c r="D779" s="27"/>
      <c r="E779" s="27"/>
      <c r="F779" s="27"/>
      <c r="G779" s="28"/>
      <c r="H779" s="27"/>
      <c r="I779" s="29"/>
      <c r="J779" s="2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8"/>
      <c r="AR779" s="27"/>
      <c r="AS779" s="29"/>
      <c r="AT779" s="26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8"/>
      <c r="CB779" s="27"/>
      <c r="CC779" s="29"/>
      <c r="CD779" s="26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8"/>
      <c r="DL779" s="27"/>
      <c r="DM779" s="36"/>
      <c r="DN779" s="26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</row>
    <row r="780">
      <c r="A780" s="27"/>
      <c r="B780" s="27"/>
      <c r="C780" s="27"/>
      <c r="D780" s="27"/>
      <c r="E780" s="27"/>
      <c r="F780" s="27"/>
      <c r="G780" s="28"/>
      <c r="H780" s="27"/>
      <c r="I780" s="29"/>
      <c r="J780" s="2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8"/>
      <c r="AR780" s="27"/>
      <c r="AS780" s="29"/>
      <c r="AT780" s="26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8"/>
      <c r="CB780" s="27"/>
      <c r="CC780" s="29"/>
      <c r="CD780" s="26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8"/>
      <c r="DL780" s="27"/>
      <c r="DM780" s="36"/>
      <c r="DN780" s="26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</row>
    <row r="781">
      <c r="A781" s="27"/>
      <c r="B781" s="27"/>
      <c r="C781" s="27"/>
      <c r="D781" s="27"/>
      <c r="E781" s="27"/>
      <c r="F781" s="27"/>
      <c r="G781" s="28"/>
      <c r="H781" s="27"/>
      <c r="I781" s="29"/>
      <c r="J781" s="2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8"/>
      <c r="AR781" s="27"/>
      <c r="AS781" s="29"/>
      <c r="AT781" s="26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8"/>
      <c r="CB781" s="27"/>
      <c r="CC781" s="29"/>
      <c r="CD781" s="26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8"/>
      <c r="DL781" s="27"/>
      <c r="DM781" s="36"/>
      <c r="DN781" s="26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</row>
    <row r="782">
      <c r="A782" s="27"/>
      <c r="B782" s="27"/>
      <c r="C782" s="27"/>
      <c r="D782" s="27"/>
      <c r="E782" s="27"/>
      <c r="F782" s="27"/>
      <c r="G782" s="28"/>
      <c r="H782" s="27"/>
      <c r="I782" s="29"/>
      <c r="J782" s="2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8"/>
      <c r="AR782" s="27"/>
      <c r="AS782" s="29"/>
      <c r="AT782" s="26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8"/>
      <c r="CB782" s="27"/>
      <c r="CC782" s="29"/>
      <c r="CD782" s="26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8"/>
      <c r="DL782" s="27"/>
      <c r="DM782" s="36"/>
      <c r="DN782" s="26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</row>
    <row r="783">
      <c r="A783" s="27"/>
      <c r="B783" s="27"/>
      <c r="C783" s="27"/>
      <c r="D783" s="27"/>
      <c r="E783" s="27"/>
      <c r="F783" s="27"/>
      <c r="G783" s="28"/>
      <c r="H783" s="27"/>
      <c r="I783" s="29"/>
      <c r="J783" s="2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8"/>
      <c r="AR783" s="27"/>
      <c r="AS783" s="29"/>
      <c r="AT783" s="26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8"/>
      <c r="CB783" s="27"/>
      <c r="CC783" s="29"/>
      <c r="CD783" s="26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8"/>
      <c r="DL783" s="27"/>
      <c r="DM783" s="36"/>
      <c r="DN783" s="26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</row>
    <row r="784">
      <c r="A784" s="27"/>
      <c r="B784" s="27"/>
      <c r="C784" s="27"/>
      <c r="D784" s="27"/>
      <c r="E784" s="27"/>
      <c r="F784" s="27"/>
      <c r="G784" s="28"/>
      <c r="H784" s="27"/>
      <c r="I784" s="29"/>
      <c r="J784" s="2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8"/>
      <c r="AR784" s="27"/>
      <c r="AS784" s="29"/>
      <c r="AT784" s="26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8"/>
      <c r="CB784" s="27"/>
      <c r="CC784" s="29"/>
      <c r="CD784" s="26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8"/>
      <c r="DL784" s="27"/>
      <c r="DM784" s="36"/>
      <c r="DN784" s="26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</row>
    <row r="785">
      <c r="A785" s="27"/>
      <c r="B785" s="27"/>
      <c r="C785" s="27"/>
      <c r="D785" s="27"/>
      <c r="E785" s="27"/>
      <c r="F785" s="27"/>
      <c r="G785" s="28"/>
      <c r="H785" s="27"/>
      <c r="I785" s="29"/>
      <c r="J785" s="2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8"/>
      <c r="AR785" s="27"/>
      <c r="AS785" s="29"/>
      <c r="AT785" s="26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8"/>
      <c r="CB785" s="27"/>
      <c r="CC785" s="29"/>
      <c r="CD785" s="26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8"/>
      <c r="DL785" s="27"/>
      <c r="DM785" s="36"/>
      <c r="DN785" s="26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</row>
    <row r="786">
      <c r="A786" s="27"/>
      <c r="B786" s="27"/>
      <c r="C786" s="27"/>
      <c r="D786" s="27"/>
      <c r="E786" s="27"/>
      <c r="F786" s="27"/>
      <c r="G786" s="28"/>
      <c r="H786" s="27"/>
      <c r="I786" s="29"/>
      <c r="J786" s="2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8"/>
      <c r="AR786" s="27"/>
      <c r="AS786" s="29"/>
      <c r="AT786" s="26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8"/>
      <c r="CB786" s="27"/>
      <c r="CC786" s="29"/>
      <c r="CD786" s="26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8"/>
      <c r="DL786" s="27"/>
      <c r="DM786" s="36"/>
      <c r="DN786" s="26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</row>
    <row r="787">
      <c r="A787" s="27"/>
      <c r="B787" s="27"/>
      <c r="C787" s="27"/>
      <c r="D787" s="27"/>
      <c r="E787" s="27"/>
      <c r="F787" s="27"/>
      <c r="G787" s="28"/>
      <c r="H787" s="27"/>
      <c r="I787" s="29"/>
      <c r="J787" s="2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8"/>
      <c r="AR787" s="27"/>
      <c r="AS787" s="29"/>
      <c r="AT787" s="26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8"/>
      <c r="CB787" s="27"/>
      <c r="CC787" s="29"/>
      <c r="CD787" s="26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8"/>
      <c r="DL787" s="27"/>
      <c r="DM787" s="36"/>
      <c r="DN787" s="26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</row>
    <row r="788">
      <c r="A788" s="27"/>
      <c r="B788" s="27"/>
      <c r="C788" s="27"/>
      <c r="D788" s="27"/>
      <c r="E788" s="27"/>
      <c r="F788" s="27"/>
      <c r="G788" s="28"/>
      <c r="H788" s="27"/>
      <c r="I788" s="29"/>
      <c r="J788" s="2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8"/>
      <c r="AR788" s="27"/>
      <c r="AS788" s="29"/>
      <c r="AT788" s="26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8"/>
      <c r="CB788" s="27"/>
      <c r="CC788" s="29"/>
      <c r="CD788" s="26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8"/>
      <c r="DL788" s="27"/>
      <c r="DM788" s="36"/>
      <c r="DN788" s="26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</row>
    <row r="789">
      <c r="A789" s="27"/>
      <c r="B789" s="27"/>
      <c r="C789" s="27"/>
      <c r="D789" s="27"/>
      <c r="E789" s="27"/>
      <c r="F789" s="27"/>
      <c r="G789" s="28"/>
      <c r="H789" s="27"/>
      <c r="I789" s="29"/>
      <c r="J789" s="2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8"/>
      <c r="AR789" s="27"/>
      <c r="AS789" s="29"/>
      <c r="AT789" s="26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8"/>
      <c r="CB789" s="27"/>
      <c r="CC789" s="29"/>
      <c r="CD789" s="26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8"/>
      <c r="DL789" s="27"/>
      <c r="DM789" s="36"/>
      <c r="DN789" s="26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</row>
    <row r="790">
      <c r="A790" s="27"/>
      <c r="B790" s="27"/>
      <c r="C790" s="27"/>
      <c r="D790" s="27"/>
      <c r="E790" s="27"/>
      <c r="F790" s="27"/>
      <c r="G790" s="28"/>
      <c r="H790" s="27"/>
      <c r="I790" s="29"/>
      <c r="J790" s="2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8"/>
      <c r="AR790" s="27"/>
      <c r="AS790" s="29"/>
      <c r="AT790" s="26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8"/>
      <c r="CB790" s="27"/>
      <c r="CC790" s="29"/>
      <c r="CD790" s="26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8"/>
      <c r="DL790" s="27"/>
      <c r="DM790" s="36"/>
      <c r="DN790" s="26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</row>
    <row r="791">
      <c r="A791" s="27"/>
      <c r="B791" s="27"/>
      <c r="C791" s="27"/>
      <c r="D791" s="27"/>
      <c r="E791" s="27"/>
      <c r="F791" s="27"/>
      <c r="G791" s="28"/>
      <c r="H791" s="27"/>
      <c r="I791" s="29"/>
      <c r="J791" s="2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8"/>
      <c r="AR791" s="27"/>
      <c r="AS791" s="29"/>
      <c r="AT791" s="26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8"/>
      <c r="CB791" s="27"/>
      <c r="CC791" s="29"/>
      <c r="CD791" s="26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8"/>
      <c r="DL791" s="27"/>
      <c r="DM791" s="36"/>
      <c r="DN791" s="26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</row>
    <row r="792">
      <c r="A792" s="27"/>
      <c r="B792" s="27"/>
      <c r="C792" s="27"/>
      <c r="D792" s="27"/>
      <c r="E792" s="27"/>
      <c r="F792" s="27"/>
      <c r="G792" s="28"/>
      <c r="H792" s="27"/>
      <c r="I792" s="29"/>
      <c r="J792" s="2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8"/>
      <c r="AR792" s="27"/>
      <c r="AS792" s="29"/>
      <c r="AT792" s="26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8"/>
      <c r="CB792" s="27"/>
      <c r="CC792" s="29"/>
      <c r="CD792" s="26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8"/>
      <c r="DL792" s="27"/>
      <c r="DM792" s="36"/>
      <c r="DN792" s="26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</row>
    <row r="793">
      <c r="A793" s="27"/>
      <c r="B793" s="27"/>
      <c r="C793" s="27"/>
      <c r="D793" s="27"/>
      <c r="E793" s="27"/>
      <c r="F793" s="27"/>
      <c r="G793" s="28"/>
      <c r="H793" s="27"/>
      <c r="I793" s="29"/>
      <c r="J793" s="2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8"/>
      <c r="AR793" s="27"/>
      <c r="AS793" s="29"/>
      <c r="AT793" s="26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8"/>
      <c r="CB793" s="27"/>
      <c r="CC793" s="29"/>
      <c r="CD793" s="26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8"/>
      <c r="DL793" s="27"/>
      <c r="DM793" s="36"/>
      <c r="DN793" s="26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</row>
    <row r="794">
      <c r="A794" s="27"/>
      <c r="B794" s="27"/>
      <c r="C794" s="27"/>
      <c r="D794" s="27"/>
      <c r="E794" s="27"/>
      <c r="F794" s="27"/>
      <c r="G794" s="28"/>
      <c r="H794" s="27"/>
      <c r="I794" s="29"/>
      <c r="J794" s="2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8"/>
      <c r="AR794" s="27"/>
      <c r="AS794" s="29"/>
      <c r="AT794" s="26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8"/>
      <c r="CB794" s="27"/>
      <c r="CC794" s="29"/>
      <c r="CD794" s="26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8"/>
      <c r="DL794" s="27"/>
      <c r="DM794" s="36"/>
      <c r="DN794" s="26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</row>
    <row r="795">
      <c r="A795" s="27"/>
      <c r="B795" s="27"/>
      <c r="C795" s="27"/>
      <c r="D795" s="27"/>
      <c r="E795" s="27"/>
      <c r="F795" s="27"/>
      <c r="G795" s="28"/>
      <c r="H795" s="27"/>
      <c r="I795" s="29"/>
      <c r="J795" s="2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8"/>
      <c r="AR795" s="27"/>
      <c r="AS795" s="29"/>
      <c r="AT795" s="26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8"/>
      <c r="CB795" s="27"/>
      <c r="CC795" s="29"/>
      <c r="CD795" s="26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8"/>
      <c r="DL795" s="27"/>
      <c r="DM795" s="36"/>
      <c r="DN795" s="26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</row>
    <row r="796">
      <c r="A796" s="27"/>
      <c r="B796" s="27"/>
      <c r="C796" s="27"/>
      <c r="D796" s="27"/>
      <c r="E796" s="27"/>
      <c r="F796" s="27"/>
      <c r="G796" s="28"/>
      <c r="H796" s="27"/>
      <c r="I796" s="29"/>
      <c r="J796" s="2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8"/>
      <c r="AR796" s="27"/>
      <c r="AS796" s="29"/>
      <c r="AT796" s="26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8"/>
      <c r="CB796" s="27"/>
      <c r="CC796" s="29"/>
      <c r="CD796" s="26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8"/>
      <c r="DL796" s="27"/>
      <c r="DM796" s="36"/>
      <c r="DN796" s="26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</row>
    <row r="797">
      <c r="A797" s="27"/>
      <c r="B797" s="27"/>
      <c r="C797" s="27"/>
      <c r="D797" s="27"/>
      <c r="E797" s="27"/>
      <c r="F797" s="27"/>
      <c r="G797" s="28"/>
      <c r="H797" s="27"/>
      <c r="I797" s="29"/>
      <c r="J797" s="2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8"/>
      <c r="AR797" s="27"/>
      <c r="AS797" s="29"/>
      <c r="AT797" s="26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8"/>
      <c r="CB797" s="27"/>
      <c r="CC797" s="29"/>
      <c r="CD797" s="26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8"/>
      <c r="DL797" s="27"/>
      <c r="DM797" s="36"/>
      <c r="DN797" s="26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</row>
    <row r="798">
      <c r="A798" s="27"/>
      <c r="B798" s="27"/>
      <c r="C798" s="27"/>
      <c r="D798" s="27"/>
      <c r="E798" s="27"/>
      <c r="F798" s="27"/>
      <c r="G798" s="28"/>
      <c r="H798" s="27"/>
      <c r="I798" s="29"/>
      <c r="J798" s="2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8"/>
      <c r="AR798" s="27"/>
      <c r="AS798" s="29"/>
      <c r="AT798" s="26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8"/>
      <c r="CB798" s="27"/>
      <c r="CC798" s="29"/>
      <c r="CD798" s="26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8"/>
      <c r="DL798" s="27"/>
      <c r="DM798" s="36"/>
      <c r="DN798" s="26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</row>
    <row r="799">
      <c r="A799" s="27"/>
      <c r="B799" s="27"/>
      <c r="C799" s="27"/>
      <c r="D799" s="27"/>
      <c r="E799" s="27"/>
      <c r="F799" s="27"/>
      <c r="G799" s="28"/>
      <c r="H799" s="27"/>
      <c r="I799" s="29"/>
      <c r="J799" s="2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8"/>
      <c r="AR799" s="27"/>
      <c r="AS799" s="29"/>
      <c r="AT799" s="26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8"/>
      <c r="CB799" s="27"/>
      <c r="CC799" s="29"/>
      <c r="CD799" s="26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8"/>
      <c r="DL799" s="27"/>
      <c r="DM799" s="36"/>
      <c r="DN799" s="26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</row>
    <row r="800">
      <c r="A800" s="27"/>
      <c r="B800" s="27"/>
      <c r="C800" s="27"/>
      <c r="D800" s="27"/>
      <c r="E800" s="27"/>
      <c r="F800" s="27"/>
      <c r="G800" s="28"/>
      <c r="H800" s="27"/>
      <c r="I800" s="29"/>
      <c r="J800" s="2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8"/>
      <c r="AR800" s="27"/>
      <c r="AS800" s="29"/>
      <c r="AT800" s="26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8"/>
      <c r="CB800" s="27"/>
      <c r="CC800" s="29"/>
      <c r="CD800" s="26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8"/>
      <c r="DL800" s="27"/>
      <c r="DM800" s="36"/>
      <c r="DN800" s="26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</row>
    <row r="801">
      <c r="A801" s="27"/>
      <c r="B801" s="27"/>
      <c r="C801" s="27"/>
      <c r="D801" s="27"/>
      <c r="E801" s="27"/>
      <c r="F801" s="27"/>
      <c r="G801" s="28"/>
      <c r="H801" s="27"/>
      <c r="I801" s="29"/>
      <c r="J801" s="2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8"/>
      <c r="AR801" s="27"/>
      <c r="AS801" s="29"/>
      <c r="AT801" s="26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8"/>
      <c r="CB801" s="27"/>
      <c r="CC801" s="29"/>
      <c r="CD801" s="26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8"/>
      <c r="DL801" s="27"/>
      <c r="DM801" s="36"/>
      <c r="DN801" s="26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</row>
    <row r="802">
      <c r="A802" s="27"/>
      <c r="B802" s="27"/>
      <c r="C802" s="27"/>
      <c r="D802" s="27"/>
      <c r="E802" s="27"/>
      <c r="F802" s="27"/>
      <c r="G802" s="28"/>
      <c r="H802" s="27"/>
      <c r="I802" s="29"/>
      <c r="J802" s="2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8"/>
      <c r="AR802" s="27"/>
      <c r="AS802" s="29"/>
      <c r="AT802" s="26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8"/>
      <c r="CB802" s="27"/>
      <c r="CC802" s="29"/>
      <c r="CD802" s="26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8"/>
      <c r="DL802" s="27"/>
      <c r="DM802" s="36"/>
      <c r="DN802" s="26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</row>
    <row r="803">
      <c r="A803" s="27"/>
      <c r="B803" s="27"/>
      <c r="C803" s="27"/>
      <c r="D803" s="27"/>
      <c r="E803" s="27"/>
      <c r="F803" s="27"/>
      <c r="G803" s="28"/>
      <c r="H803" s="27"/>
      <c r="I803" s="29"/>
      <c r="J803" s="2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8"/>
      <c r="AR803" s="27"/>
      <c r="AS803" s="29"/>
      <c r="AT803" s="26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8"/>
      <c r="CB803" s="27"/>
      <c r="CC803" s="29"/>
      <c r="CD803" s="26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8"/>
      <c r="DL803" s="27"/>
      <c r="DM803" s="36"/>
      <c r="DN803" s="26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</row>
    <row r="804">
      <c r="A804" s="27"/>
      <c r="B804" s="27"/>
      <c r="C804" s="27"/>
      <c r="D804" s="27"/>
      <c r="E804" s="27"/>
      <c r="F804" s="27"/>
      <c r="G804" s="28"/>
      <c r="H804" s="27"/>
      <c r="I804" s="29"/>
      <c r="J804" s="2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8"/>
      <c r="AR804" s="27"/>
      <c r="AS804" s="29"/>
      <c r="AT804" s="26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8"/>
      <c r="CB804" s="27"/>
      <c r="CC804" s="29"/>
      <c r="CD804" s="26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8"/>
      <c r="DL804" s="27"/>
      <c r="DM804" s="36"/>
      <c r="DN804" s="26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</row>
    <row r="805">
      <c r="A805" s="27"/>
      <c r="B805" s="27"/>
      <c r="C805" s="27"/>
      <c r="D805" s="27"/>
      <c r="E805" s="27"/>
      <c r="F805" s="27"/>
      <c r="G805" s="28"/>
      <c r="H805" s="27"/>
      <c r="I805" s="29"/>
      <c r="J805" s="2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8"/>
      <c r="AR805" s="27"/>
      <c r="AS805" s="29"/>
      <c r="AT805" s="26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8"/>
      <c r="CB805" s="27"/>
      <c r="CC805" s="29"/>
      <c r="CD805" s="26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8"/>
      <c r="DL805" s="27"/>
      <c r="DM805" s="36"/>
      <c r="DN805" s="26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</row>
    <row r="806">
      <c r="A806" s="27"/>
      <c r="B806" s="27"/>
      <c r="C806" s="27"/>
      <c r="D806" s="27"/>
      <c r="E806" s="27"/>
      <c r="F806" s="27"/>
      <c r="G806" s="28"/>
      <c r="H806" s="27"/>
      <c r="I806" s="29"/>
      <c r="J806" s="2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8"/>
      <c r="AR806" s="27"/>
      <c r="AS806" s="29"/>
      <c r="AT806" s="26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8"/>
      <c r="CB806" s="27"/>
      <c r="CC806" s="29"/>
      <c r="CD806" s="26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8"/>
      <c r="DL806" s="27"/>
      <c r="DM806" s="36"/>
      <c r="DN806" s="26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</row>
    <row r="807">
      <c r="A807" s="27"/>
      <c r="B807" s="27"/>
      <c r="C807" s="27"/>
      <c r="D807" s="27"/>
      <c r="E807" s="27"/>
      <c r="F807" s="27"/>
      <c r="G807" s="28"/>
      <c r="H807" s="27"/>
      <c r="I807" s="29"/>
      <c r="J807" s="2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8"/>
      <c r="AR807" s="27"/>
      <c r="AS807" s="29"/>
      <c r="AT807" s="26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8"/>
      <c r="CB807" s="27"/>
      <c r="CC807" s="29"/>
      <c r="CD807" s="26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8"/>
      <c r="DL807" s="27"/>
      <c r="DM807" s="36"/>
      <c r="DN807" s="26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</row>
    <row r="808">
      <c r="A808" s="27"/>
      <c r="B808" s="27"/>
      <c r="C808" s="27"/>
      <c r="D808" s="27"/>
      <c r="E808" s="27"/>
      <c r="F808" s="27"/>
      <c r="G808" s="28"/>
      <c r="H808" s="27"/>
      <c r="I808" s="29"/>
      <c r="J808" s="2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8"/>
      <c r="AR808" s="27"/>
      <c r="AS808" s="29"/>
      <c r="AT808" s="26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8"/>
      <c r="CB808" s="27"/>
      <c r="CC808" s="29"/>
      <c r="CD808" s="26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8"/>
      <c r="DL808" s="27"/>
      <c r="DM808" s="36"/>
      <c r="DN808" s="26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</row>
    <row r="809">
      <c r="A809" s="27"/>
      <c r="B809" s="27"/>
      <c r="C809" s="27"/>
      <c r="D809" s="27"/>
      <c r="E809" s="27"/>
      <c r="F809" s="27"/>
      <c r="G809" s="28"/>
      <c r="H809" s="27"/>
      <c r="I809" s="29"/>
      <c r="J809" s="2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8"/>
      <c r="AR809" s="27"/>
      <c r="AS809" s="29"/>
      <c r="AT809" s="26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8"/>
      <c r="CB809" s="27"/>
      <c r="CC809" s="29"/>
      <c r="CD809" s="26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8"/>
      <c r="DL809" s="27"/>
      <c r="DM809" s="36"/>
      <c r="DN809" s="26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</row>
    <row r="810">
      <c r="A810" s="27"/>
      <c r="B810" s="27"/>
      <c r="C810" s="27"/>
      <c r="D810" s="27"/>
      <c r="E810" s="27"/>
      <c r="F810" s="27"/>
      <c r="G810" s="28"/>
      <c r="H810" s="27"/>
      <c r="I810" s="29"/>
      <c r="J810" s="2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8"/>
      <c r="AR810" s="27"/>
      <c r="AS810" s="29"/>
      <c r="AT810" s="26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8"/>
      <c r="CB810" s="27"/>
      <c r="CC810" s="29"/>
      <c r="CD810" s="26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8"/>
      <c r="DL810" s="27"/>
      <c r="DM810" s="36"/>
      <c r="DN810" s="26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</row>
    <row r="811">
      <c r="A811" s="27"/>
      <c r="B811" s="27"/>
      <c r="C811" s="27"/>
      <c r="D811" s="27"/>
      <c r="E811" s="27"/>
      <c r="F811" s="27"/>
      <c r="G811" s="28"/>
      <c r="H811" s="27"/>
      <c r="I811" s="29"/>
      <c r="J811" s="2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8"/>
      <c r="AR811" s="27"/>
      <c r="AS811" s="29"/>
      <c r="AT811" s="26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8"/>
      <c r="CB811" s="27"/>
      <c r="CC811" s="29"/>
      <c r="CD811" s="26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8"/>
      <c r="DL811" s="27"/>
      <c r="DM811" s="36"/>
      <c r="DN811" s="26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</row>
    <row r="812">
      <c r="A812" s="27"/>
      <c r="B812" s="27"/>
      <c r="C812" s="27"/>
      <c r="D812" s="27"/>
      <c r="E812" s="27"/>
      <c r="F812" s="27"/>
      <c r="G812" s="28"/>
      <c r="H812" s="27"/>
      <c r="I812" s="29"/>
      <c r="J812" s="2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8"/>
      <c r="AR812" s="27"/>
      <c r="AS812" s="29"/>
      <c r="AT812" s="26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8"/>
      <c r="CB812" s="27"/>
      <c r="CC812" s="29"/>
      <c r="CD812" s="26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8"/>
      <c r="DL812" s="27"/>
      <c r="DM812" s="36"/>
      <c r="DN812" s="26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</row>
    <row r="813">
      <c r="A813" s="27"/>
      <c r="B813" s="27"/>
      <c r="C813" s="27"/>
      <c r="D813" s="27"/>
      <c r="E813" s="27"/>
      <c r="F813" s="27"/>
      <c r="G813" s="28"/>
      <c r="H813" s="27"/>
      <c r="I813" s="29"/>
      <c r="J813" s="2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8"/>
      <c r="AR813" s="27"/>
      <c r="AS813" s="29"/>
      <c r="AT813" s="26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8"/>
      <c r="CB813" s="27"/>
      <c r="CC813" s="29"/>
      <c r="CD813" s="26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8"/>
      <c r="DL813" s="27"/>
      <c r="DM813" s="36"/>
      <c r="DN813" s="26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</row>
    <row r="814">
      <c r="A814" s="27"/>
      <c r="B814" s="27"/>
      <c r="C814" s="27"/>
      <c r="D814" s="27"/>
      <c r="E814" s="27"/>
      <c r="F814" s="27"/>
      <c r="G814" s="28"/>
      <c r="H814" s="27"/>
      <c r="I814" s="29"/>
      <c r="J814" s="2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8"/>
      <c r="AR814" s="27"/>
      <c r="AS814" s="29"/>
      <c r="AT814" s="26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8"/>
      <c r="CB814" s="27"/>
      <c r="CC814" s="29"/>
      <c r="CD814" s="26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8"/>
      <c r="DL814" s="27"/>
      <c r="DM814" s="36"/>
      <c r="DN814" s="26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</row>
    <row r="815">
      <c r="A815" s="27"/>
      <c r="B815" s="27"/>
      <c r="C815" s="27"/>
      <c r="D815" s="27"/>
      <c r="E815" s="27"/>
      <c r="F815" s="27"/>
      <c r="G815" s="28"/>
      <c r="H815" s="27"/>
      <c r="I815" s="29"/>
      <c r="J815" s="2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8"/>
      <c r="AR815" s="27"/>
      <c r="AS815" s="29"/>
      <c r="AT815" s="26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8"/>
      <c r="CB815" s="27"/>
      <c r="CC815" s="29"/>
      <c r="CD815" s="26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8"/>
      <c r="DL815" s="27"/>
      <c r="DM815" s="36"/>
      <c r="DN815" s="26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</row>
    <row r="816">
      <c r="A816" s="27"/>
      <c r="B816" s="27"/>
      <c r="C816" s="27"/>
      <c r="D816" s="27"/>
      <c r="E816" s="27"/>
      <c r="F816" s="27"/>
      <c r="G816" s="28"/>
      <c r="H816" s="27"/>
      <c r="I816" s="29"/>
      <c r="J816" s="2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8"/>
      <c r="AR816" s="27"/>
      <c r="AS816" s="29"/>
      <c r="AT816" s="26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8"/>
      <c r="CB816" s="27"/>
      <c r="CC816" s="29"/>
      <c r="CD816" s="26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8"/>
      <c r="DL816" s="27"/>
      <c r="DM816" s="36"/>
      <c r="DN816" s="26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</row>
    <row r="817">
      <c r="A817" s="27"/>
      <c r="B817" s="27"/>
      <c r="C817" s="27"/>
      <c r="D817" s="27"/>
      <c r="E817" s="27"/>
      <c r="F817" s="27"/>
      <c r="G817" s="28"/>
      <c r="H817" s="27"/>
      <c r="I817" s="29"/>
      <c r="J817" s="2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8"/>
      <c r="AR817" s="27"/>
      <c r="AS817" s="29"/>
      <c r="AT817" s="26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8"/>
      <c r="CB817" s="27"/>
      <c r="CC817" s="29"/>
      <c r="CD817" s="26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8"/>
      <c r="DL817" s="27"/>
      <c r="DM817" s="36"/>
      <c r="DN817" s="26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</row>
    <row r="818">
      <c r="A818" s="27"/>
      <c r="B818" s="27"/>
      <c r="C818" s="27"/>
      <c r="D818" s="27"/>
      <c r="E818" s="27"/>
      <c r="F818" s="27"/>
      <c r="G818" s="28"/>
      <c r="H818" s="27"/>
      <c r="I818" s="29"/>
      <c r="J818" s="2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8"/>
      <c r="AR818" s="27"/>
      <c r="AS818" s="29"/>
      <c r="AT818" s="26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8"/>
      <c r="CB818" s="27"/>
      <c r="CC818" s="29"/>
      <c r="CD818" s="26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8"/>
      <c r="DL818" s="27"/>
      <c r="DM818" s="36"/>
      <c r="DN818" s="26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</row>
    <row r="819">
      <c r="A819" s="27"/>
      <c r="B819" s="27"/>
      <c r="C819" s="27"/>
      <c r="D819" s="27"/>
      <c r="E819" s="27"/>
      <c r="F819" s="27"/>
      <c r="G819" s="28"/>
      <c r="H819" s="27"/>
      <c r="I819" s="29"/>
      <c r="J819" s="2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8"/>
      <c r="AR819" s="27"/>
      <c r="AS819" s="29"/>
      <c r="AT819" s="26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8"/>
      <c r="CB819" s="27"/>
      <c r="CC819" s="29"/>
      <c r="CD819" s="26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8"/>
      <c r="DL819" s="27"/>
      <c r="DM819" s="36"/>
      <c r="DN819" s="26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</row>
    <row r="820">
      <c r="A820" s="27"/>
      <c r="B820" s="27"/>
      <c r="C820" s="27"/>
      <c r="D820" s="27"/>
      <c r="E820" s="27"/>
      <c r="F820" s="27"/>
      <c r="G820" s="28"/>
      <c r="H820" s="27"/>
      <c r="I820" s="29"/>
      <c r="J820" s="2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8"/>
      <c r="AR820" s="27"/>
      <c r="AS820" s="29"/>
      <c r="AT820" s="26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8"/>
      <c r="CB820" s="27"/>
      <c r="CC820" s="29"/>
      <c r="CD820" s="26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8"/>
      <c r="DL820" s="27"/>
      <c r="DM820" s="36"/>
      <c r="DN820" s="26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</row>
    <row r="821">
      <c r="A821" s="27"/>
      <c r="B821" s="27"/>
      <c r="C821" s="27"/>
      <c r="D821" s="27"/>
      <c r="E821" s="27"/>
      <c r="F821" s="27"/>
      <c r="G821" s="28"/>
      <c r="H821" s="27"/>
      <c r="I821" s="29"/>
      <c r="J821" s="2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8"/>
      <c r="AR821" s="27"/>
      <c r="AS821" s="29"/>
      <c r="AT821" s="26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8"/>
      <c r="CB821" s="27"/>
      <c r="CC821" s="29"/>
      <c r="CD821" s="26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8"/>
      <c r="DL821" s="27"/>
      <c r="DM821" s="36"/>
      <c r="DN821" s="26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</row>
    <row r="822">
      <c r="A822" s="27"/>
      <c r="B822" s="27"/>
      <c r="C822" s="27"/>
      <c r="D822" s="27"/>
      <c r="E822" s="27"/>
      <c r="F822" s="27"/>
      <c r="G822" s="28"/>
      <c r="H822" s="27"/>
      <c r="I822" s="29"/>
      <c r="J822" s="2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8"/>
      <c r="AR822" s="27"/>
      <c r="AS822" s="29"/>
      <c r="AT822" s="26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8"/>
      <c r="CB822" s="27"/>
      <c r="CC822" s="29"/>
      <c r="CD822" s="26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8"/>
      <c r="DL822" s="27"/>
      <c r="DM822" s="36"/>
      <c r="DN822" s="26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</row>
    <row r="823">
      <c r="A823" s="27"/>
      <c r="B823" s="27"/>
      <c r="C823" s="27"/>
      <c r="D823" s="27"/>
      <c r="E823" s="27"/>
      <c r="F823" s="27"/>
      <c r="G823" s="28"/>
      <c r="H823" s="27"/>
      <c r="I823" s="29"/>
      <c r="J823" s="2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8"/>
      <c r="AR823" s="27"/>
      <c r="AS823" s="29"/>
      <c r="AT823" s="26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8"/>
      <c r="CB823" s="27"/>
      <c r="CC823" s="29"/>
      <c r="CD823" s="26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8"/>
      <c r="DL823" s="27"/>
      <c r="DM823" s="36"/>
      <c r="DN823" s="26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</row>
    <row r="824">
      <c r="A824" s="27"/>
      <c r="B824" s="27"/>
      <c r="C824" s="27"/>
      <c r="D824" s="27"/>
      <c r="E824" s="27"/>
      <c r="F824" s="27"/>
      <c r="G824" s="28"/>
      <c r="H824" s="27"/>
      <c r="I824" s="29"/>
      <c r="J824" s="2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8"/>
      <c r="AR824" s="27"/>
      <c r="AS824" s="29"/>
      <c r="AT824" s="26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8"/>
      <c r="CB824" s="27"/>
      <c r="CC824" s="29"/>
      <c r="CD824" s="26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8"/>
      <c r="DL824" s="27"/>
      <c r="DM824" s="36"/>
      <c r="DN824" s="26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</row>
    <row r="825">
      <c r="A825" s="27"/>
      <c r="B825" s="27"/>
      <c r="C825" s="27"/>
      <c r="D825" s="27"/>
      <c r="E825" s="27"/>
      <c r="F825" s="27"/>
      <c r="G825" s="28"/>
      <c r="H825" s="27"/>
      <c r="I825" s="29"/>
      <c r="J825" s="2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8"/>
      <c r="AR825" s="27"/>
      <c r="AS825" s="29"/>
      <c r="AT825" s="26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8"/>
      <c r="CB825" s="27"/>
      <c r="CC825" s="29"/>
      <c r="CD825" s="26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8"/>
      <c r="DL825" s="27"/>
      <c r="DM825" s="36"/>
      <c r="DN825" s="26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</row>
    <row r="826">
      <c r="A826" s="27"/>
      <c r="B826" s="27"/>
      <c r="C826" s="27"/>
      <c r="D826" s="27"/>
      <c r="E826" s="27"/>
      <c r="F826" s="27"/>
      <c r="G826" s="28"/>
      <c r="H826" s="27"/>
      <c r="I826" s="29"/>
      <c r="J826" s="2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8"/>
      <c r="AR826" s="27"/>
      <c r="AS826" s="29"/>
      <c r="AT826" s="26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8"/>
      <c r="CB826" s="27"/>
      <c r="CC826" s="29"/>
      <c r="CD826" s="26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8"/>
      <c r="DL826" s="27"/>
      <c r="DM826" s="36"/>
      <c r="DN826" s="26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</row>
    <row r="827">
      <c r="A827" s="27"/>
      <c r="B827" s="27"/>
      <c r="C827" s="27"/>
      <c r="D827" s="27"/>
      <c r="E827" s="27"/>
      <c r="F827" s="27"/>
      <c r="G827" s="28"/>
      <c r="H827" s="27"/>
      <c r="I827" s="29"/>
      <c r="J827" s="2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8"/>
      <c r="AR827" s="27"/>
      <c r="AS827" s="29"/>
      <c r="AT827" s="26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8"/>
      <c r="CB827" s="27"/>
      <c r="CC827" s="29"/>
      <c r="CD827" s="26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8"/>
      <c r="DL827" s="27"/>
      <c r="DM827" s="36"/>
      <c r="DN827" s="26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</row>
    <row r="828">
      <c r="A828" s="27"/>
      <c r="B828" s="27"/>
      <c r="C828" s="27"/>
      <c r="D828" s="27"/>
      <c r="E828" s="27"/>
      <c r="F828" s="27"/>
      <c r="G828" s="28"/>
      <c r="H828" s="27"/>
      <c r="I828" s="29"/>
      <c r="J828" s="2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8"/>
      <c r="AR828" s="27"/>
      <c r="AS828" s="29"/>
      <c r="AT828" s="26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8"/>
      <c r="CB828" s="27"/>
      <c r="CC828" s="29"/>
      <c r="CD828" s="26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8"/>
      <c r="DL828" s="27"/>
      <c r="DM828" s="36"/>
      <c r="DN828" s="26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</row>
    <row r="829">
      <c r="A829" s="27"/>
      <c r="B829" s="27"/>
      <c r="C829" s="27"/>
      <c r="D829" s="27"/>
      <c r="E829" s="27"/>
      <c r="F829" s="27"/>
      <c r="G829" s="28"/>
      <c r="H829" s="27"/>
      <c r="I829" s="29"/>
      <c r="J829" s="2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8"/>
      <c r="AR829" s="27"/>
      <c r="AS829" s="29"/>
      <c r="AT829" s="26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8"/>
      <c r="CB829" s="27"/>
      <c r="CC829" s="29"/>
      <c r="CD829" s="26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8"/>
      <c r="DL829" s="27"/>
      <c r="DM829" s="36"/>
      <c r="DN829" s="26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</row>
    <row r="830">
      <c r="A830" s="27"/>
      <c r="B830" s="27"/>
      <c r="C830" s="27"/>
      <c r="D830" s="27"/>
      <c r="E830" s="27"/>
      <c r="F830" s="27"/>
      <c r="G830" s="28"/>
      <c r="H830" s="27"/>
      <c r="I830" s="29"/>
      <c r="J830" s="2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8"/>
      <c r="AR830" s="27"/>
      <c r="AS830" s="29"/>
      <c r="AT830" s="26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8"/>
      <c r="CB830" s="27"/>
      <c r="CC830" s="29"/>
      <c r="CD830" s="26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8"/>
      <c r="DL830" s="27"/>
      <c r="DM830" s="36"/>
      <c r="DN830" s="26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</row>
    <row r="831">
      <c r="A831" s="27"/>
      <c r="B831" s="27"/>
      <c r="C831" s="27"/>
      <c r="D831" s="27"/>
      <c r="E831" s="27"/>
      <c r="F831" s="27"/>
      <c r="G831" s="28"/>
      <c r="H831" s="27"/>
      <c r="I831" s="29"/>
      <c r="J831" s="2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8"/>
      <c r="AR831" s="27"/>
      <c r="AS831" s="29"/>
      <c r="AT831" s="26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8"/>
      <c r="CB831" s="27"/>
      <c r="CC831" s="29"/>
      <c r="CD831" s="26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8"/>
      <c r="DL831" s="27"/>
      <c r="DM831" s="36"/>
      <c r="DN831" s="26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</row>
    <row r="832">
      <c r="A832" s="27"/>
      <c r="B832" s="27"/>
      <c r="C832" s="27"/>
      <c r="D832" s="27"/>
      <c r="E832" s="27"/>
      <c r="F832" s="27"/>
      <c r="G832" s="28"/>
      <c r="H832" s="27"/>
      <c r="I832" s="29"/>
      <c r="J832" s="2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8"/>
      <c r="AR832" s="27"/>
      <c r="AS832" s="29"/>
      <c r="AT832" s="26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8"/>
      <c r="CB832" s="27"/>
      <c r="CC832" s="29"/>
      <c r="CD832" s="26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8"/>
      <c r="DL832" s="27"/>
      <c r="DM832" s="36"/>
      <c r="DN832" s="26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</row>
    <row r="833">
      <c r="A833" s="27"/>
      <c r="B833" s="27"/>
      <c r="C833" s="27"/>
      <c r="D833" s="27"/>
      <c r="E833" s="27"/>
      <c r="F833" s="27"/>
      <c r="G833" s="28"/>
      <c r="H833" s="27"/>
      <c r="I833" s="29"/>
      <c r="J833" s="2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8"/>
      <c r="AR833" s="27"/>
      <c r="AS833" s="29"/>
      <c r="AT833" s="26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8"/>
      <c r="CB833" s="27"/>
      <c r="CC833" s="29"/>
      <c r="CD833" s="26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8"/>
      <c r="DL833" s="27"/>
      <c r="DM833" s="36"/>
      <c r="DN833" s="26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</row>
    <row r="834">
      <c r="A834" s="27"/>
      <c r="B834" s="27"/>
      <c r="C834" s="27"/>
      <c r="D834" s="27"/>
      <c r="E834" s="27"/>
      <c r="F834" s="27"/>
      <c r="G834" s="28"/>
      <c r="H834" s="27"/>
      <c r="I834" s="29"/>
      <c r="J834" s="2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8"/>
      <c r="AR834" s="27"/>
      <c r="AS834" s="29"/>
      <c r="AT834" s="26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8"/>
      <c r="CB834" s="27"/>
      <c r="CC834" s="29"/>
      <c r="CD834" s="26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8"/>
      <c r="DL834" s="27"/>
      <c r="DM834" s="36"/>
      <c r="DN834" s="26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</row>
    <row r="835">
      <c r="A835" s="27"/>
      <c r="B835" s="27"/>
      <c r="C835" s="27"/>
      <c r="D835" s="27"/>
      <c r="E835" s="27"/>
      <c r="F835" s="27"/>
      <c r="G835" s="28"/>
      <c r="H835" s="27"/>
      <c r="I835" s="29"/>
      <c r="J835" s="2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8"/>
      <c r="AR835" s="27"/>
      <c r="AS835" s="29"/>
      <c r="AT835" s="26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8"/>
      <c r="CB835" s="27"/>
      <c r="CC835" s="29"/>
      <c r="CD835" s="26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8"/>
      <c r="DL835" s="27"/>
      <c r="DM835" s="36"/>
      <c r="DN835" s="26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</row>
    <row r="836">
      <c r="A836" s="27"/>
      <c r="B836" s="27"/>
      <c r="C836" s="27"/>
      <c r="D836" s="27"/>
      <c r="E836" s="27"/>
      <c r="F836" s="27"/>
      <c r="G836" s="28"/>
      <c r="H836" s="27"/>
      <c r="I836" s="29"/>
      <c r="J836" s="2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8"/>
      <c r="AR836" s="27"/>
      <c r="AS836" s="29"/>
      <c r="AT836" s="26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8"/>
      <c r="CB836" s="27"/>
      <c r="CC836" s="29"/>
      <c r="CD836" s="26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8"/>
      <c r="DL836" s="27"/>
      <c r="DM836" s="36"/>
      <c r="DN836" s="26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</row>
    <row r="837">
      <c r="A837" s="27"/>
      <c r="B837" s="27"/>
      <c r="C837" s="27"/>
      <c r="D837" s="27"/>
      <c r="E837" s="27"/>
      <c r="F837" s="27"/>
      <c r="G837" s="28"/>
      <c r="H837" s="27"/>
      <c r="I837" s="29"/>
      <c r="J837" s="2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8"/>
      <c r="AR837" s="27"/>
      <c r="AS837" s="29"/>
      <c r="AT837" s="26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8"/>
      <c r="CB837" s="27"/>
      <c r="CC837" s="29"/>
      <c r="CD837" s="26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8"/>
      <c r="DL837" s="27"/>
      <c r="DM837" s="36"/>
      <c r="DN837" s="26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</row>
    <row r="838">
      <c r="A838" s="27"/>
      <c r="B838" s="27"/>
      <c r="C838" s="27"/>
      <c r="D838" s="27"/>
      <c r="E838" s="27"/>
      <c r="F838" s="27"/>
      <c r="G838" s="28"/>
      <c r="H838" s="27"/>
      <c r="I838" s="29"/>
      <c r="J838" s="2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8"/>
      <c r="AR838" s="27"/>
      <c r="AS838" s="29"/>
      <c r="AT838" s="26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8"/>
      <c r="CB838" s="27"/>
      <c r="CC838" s="29"/>
      <c r="CD838" s="26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8"/>
      <c r="DL838" s="27"/>
      <c r="DM838" s="36"/>
      <c r="DN838" s="26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</row>
    <row r="839">
      <c r="A839" s="27"/>
      <c r="B839" s="27"/>
      <c r="C839" s="27"/>
      <c r="D839" s="27"/>
      <c r="E839" s="27"/>
      <c r="F839" s="27"/>
      <c r="G839" s="28"/>
      <c r="H839" s="27"/>
      <c r="I839" s="29"/>
      <c r="J839" s="2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8"/>
      <c r="AR839" s="27"/>
      <c r="AS839" s="29"/>
      <c r="AT839" s="26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8"/>
      <c r="CB839" s="27"/>
      <c r="CC839" s="29"/>
      <c r="CD839" s="26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8"/>
      <c r="DL839" s="27"/>
      <c r="DM839" s="36"/>
      <c r="DN839" s="26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</row>
    <row r="840">
      <c r="A840" s="27"/>
      <c r="B840" s="27"/>
      <c r="C840" s="27"/>
      <c r="D840" s="27"/>
      <c r="E840" s="27"/>
      <c r="F840" s="27"/>
      <c r="G840" s="28"/>
      <c r="H840" s="27"/>
      <c r="I840" s="29"/>
      <c r="J840" s="2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8"/>
      <c r="AR840" s="27"/>
      <c r="AS840" s="29"/>
      <c r="AT840" s="26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8"/>
      <c r="CB840" s="27"/>
      <c r="CC840" s="29"/>
      <c r="CD840" s="26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8"/>
      <c r="DL840" s="27"/>
      <c r="DM840" s="36"/>
      <c r="DN840" s="26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</row>
    <row r="841">
      <c r="A841" s="27"/>
      <c r="B841" s="27"/>
      <c r="C841" s="27"/>
      <c r="D841" s="27"/>
      <c r="E841" s="27"/>
      <c r="F841" s="27"/>
      <c r="G841" s="28"/>
      <c r="H841" s="27"/>
      <c r="I841" s="29"/>
      <c r="J841" s="2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8"/>
      <c r="AR841" s="27"/>
      <c r="AS841" s="29"/>
      <c r="AT841" s="26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8"/>
      <c r="CB841" s="27"/>
      <c r="CC841" s="29"/>
      <c r="CD841" s="26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8"/>
      <c r="DL841" s="27"/>
      <c r="DM841" s="36"/>
      <c r="DN841" s="26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</row>
    <row r="842">
      <c r="A842" s="27"/>
      <c r="B842" s="27"/>
      <c r="C842" s="27"/>
      <c r="D842" s="27"/>
      <c r="E842" s="27"/>
      <c r="F842" s="27"/>
      <c r="G842" s="28"/>
      <c r="H842" s="27"/>
      <c r="I842" s="29"/>
      <c r="J842" s="2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8"/>
      <c r="AR842" s="27"/>
      <c r="AS842" s="29"/>
      <c r="AT842" s="26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8"/>
      <c r="CB842" s="27"/>
      <c r="CC842" s="29"/>
      <c r="CD842" s="26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8"/>
      <c r="DL842" s="27"/>
      <c r="DM842" s="36"/>
      <c r="DN842" s="26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</row>
    <row r="843">
      <c r="A843" s="27"/>
      <c r="B843" s="27"/>
      <c r="C843" s="27"/>
      <c r="D843" s="27"/>
      <c r="E843" s="27"/>
      <c r="F843" s="27"/>
      <c r="G843" s="28"/>
      <c r="H843" s="27"/>
      <c r="I843" s="29"/>
      <c r="J843" s="2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8"/>
      <c r="AR843" s="27"/>
      <c r="AS843" s="29"/>
      <c r="AT843" s="26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8"/>
      <c r="CB843" s="27"/>
      <c r="CC843" s="29"/>
      <c r="CD843" s="26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8"/>
      <c r="DL843" s="27"/>
      <c r="DM843" s="36"/>
      <c r="DN843" s="26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</row>
    <row r="844">
      <c r="A844" s="27"/>
      <c r="B844" s="27"/>
      <c r="C844" s="27"/>
      <c r="D844" s="27"/>
      <c r="E844" s="27"/>
      <c r="F844" s="27"/>
      <c r="G844" s="28"/>
      <c r="H844" s="27"/>
      <c r="I844" s="29"/>
      <c r="J844" s="2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8"/>
      <c r="AR844" s="27"/>
      <c r="AS844" s="29"/>
      <c r="AT844" s="26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8"/>
      <c r="CB844" s="27"/>
      <c r="CC844" s="29"/>
      <c r="CD844" s="26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8"/>
      <c r="DL844" s="27"/>
      <c r="DM844" s="36"/>
      <c r="DN844" s="26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</row>
    <row r="845">
      <c r="A845" s="27"/>
      <c r="B845" s="27"/>
      <c r="C845" s="27"/>
      <c r="D845" s="27"/>
      <c r="E845" s="27"/>
      <c r="F845" s="27"/>
      <c r="G845" s="28"/>
      <c r="H845" s="27"/>
      <c r="I845" s="29"/>
      <c r="J845" s="2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8"/>
      <c r="AR845" s="27"/>
      <c r="AS845" s="29"/>
      <c r="AT845" s="26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8"/>
      <c r="CB845" s="27"/>
      <c r="CC845" s="29"/>
      <c r="CD845" s="26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8"/>
      <c r="DL845" s="27"/>
      <c r="DM845" s="36"/>
      <c r="DN845" s="26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</row>
    <row r="846">
      <c r="A846" s="27"/>
      <c r="B846" s="27"/>
      <c r="C846" s="27"/>
      <c r="D846" s="27"/>
      <c r="E846" s="27"/>
      <c r="F846" s="27"/>
      <c r="G846" s="28"/>
      <c r="H846" s="27"/>
      <c r="I846" s="29"/>
      <c r="J846" s="2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8"/>
      <c r="AR846" s="27"/>
      <c r="AS846" s="29"/>
      <c r="AT846" s="26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8"/>
      <c r="CB846" s="27"/>
      <c r="CC846" s="29"/>
      <c r="CD846" s="26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8"/>
      <c r="DL846" s="27"/>
      <c r="DM846" s="36"/>
      <c r="DN846" s="26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</row>
    <row r="847">
      <c r="A847" s="27"/>
      <c r="B847" s="27"/>
      <c r="C847" s="27"/>
      <c r="D847" s="27"/>
      <c r="E847" s="27"/>
      <c r="F847" s="27"/>
      <c r="G847" s="28"/>
      <c r="H847" s="27"/>
      <c r="I847" s="29"/>
      <c r="J847" s="2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8"/>
      <c r="AR847" s="27"/>
      <c r="AS847" s="29"/>
      <c r="AT847" s="26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8"/>
      <c r="CB847" s="27"/>
      <c r="CC847" s="29"/>
      <c r="CD847" s="26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8"/>
      <c r="DL847" s="27"/>
      <c r="DM847" s="36"/>
      <c r="DN847" s="26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</row>
    <row r="848">
      <c r="A848" s="27"/>
      <c r="B848" s="27"/>
      <c r="C848" s="27"/>
      <c r="D848" s="27"/>
      <c r="E848" s="27"/>
      <c r="F848" s="27"/>
      <c r="G848" s="28"/>
      <c r="H848" s="27"/>
      <c r="I848" s="29"/>
      <c r="J848" s="2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8"/>
      <c r="AR848" s="27"/>
      <c r="AS848" s="29"/>
      <c r="AT848" s="26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8"/>
      <c r="CB848" s="27"/>
      <c r="CC848" s="29"/>
      <c r="CD848" s="26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8"/>
      <c r="DL848" s="27"/>
      <c r="DM848" s="36"/>
      <c r="DN848" s="26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</row>
    <row r="849">
      <c r="A849" s="27"/>
      <c r="B849" s="27"/>
      <c r="C849" s="27"/>
      <c r="D849" s="27"/>
      <c r="E849" s="27"/>
      <c r="F849" s="27"/>
      <c r="G849" s="28"/>
      <c r="H849" s="27"/>
      <c r="I849" s="29"/>
      <c r="J849" s="2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8"/>
      <c r="AR849" s="27"/>
      <c r="AS849" s="29"/>
      <c r="AT849" s="26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8"/>
      <c r="CB849" s="27"/>
      <c r="CC849" s="29"/>
      <c r="CD849" s="26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8"/>
      <c r="DL849" s="27"/>
      <c r="DM849" s="36"/>
      <c r="DN849" s="26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</row>
    <row r="850">
      <c r="A850" s="27"/>
      <c r="B850" s="27"/>
      <c r="C850" s="27"/>
      <c r="D850" s="27"/>
      <c r="E850" s="27"/>
      <c r="F850" s="27"/>
      <c r="G850" s="28"/>
      <c r="H850" s="27"/>
      <c r="I850" s="29"/>
      <c r="J850" s="2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8"/>
      <c r="AR850" s="27"/>
      <c r="AS850" s="29"/>
      <c r="AT850" s="26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8"/>
      <c r="CB850" s="27"/>
      <c r="CC850" s="29"/>
      <c r="CD850" s="26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8"/>
      <c r="DL850" s="27"/>
      <c r="DM850" s="36"/>
      <c r="DN850" s="26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</row>
    <row r="851">
      <c r="A851" s="27"/>
      <c r="B851" s="27"/>
      <c r="C851" s="27"/>
      <c r="D851" s="27"/>
      <c r="E851" s="27"/>
      <c r="F851" s="27"/>
      <c r="G851" s="28"/>
      <c r="H851" s="27"/>
      <c r="I851" s="29"/>
      <c r="J851" s="2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8"/>
      <c r="AR851" s="27"/>
      <c r="AS851" s="29"/>
      <c r="AT851" s="26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8"/>
      <c r="CB851" s="27"/>
      <c r="CC851" s="29"/>
      <c r="CD851" s="26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8"/>
      <c r="DL851" s="27"/>
      <c r="DM851" s="36"/>
      <c r="DN851" s="26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</row>
    <row r="852">
      <c r="A852" s="27"/>
      <c r="B852" s="27"/>
      <c r="C852" s="27"/>
      <c r="D852" s="27"/>
      <c r="E852" s="27"/>
      <c r="F852" s="27"/>
      <c r="G852" s="28"/>
      <c r="H852" s="27"/>
      <c r="I852" s="29"/>
      <c r="J852" s="2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8"/>
      <c r="AR852" s="27"/>
      <c r="AS852" s="29"/>
      <c r="AT852" s="26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8"/>
      <c r="CB852" s="27"/>
      <c r="CC852" s="29"/>
      <c r="CD852" s="26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8"/>
      <c r="DL852" s="27"/>
      <c r="DM852" s="36"/>
      <c r="DN852" s="26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</row>
    <row r="853">
      <c r="A853" s="27"/>
      <c r="B853" s="27"/>
      <c r="C853" s="27"/>
      <c r="D853" s="27"/>
      <c r="E853" s="27"/>
      <c r="F853" s="27"/>
      <c r="G853" s="28"/>
      <c r="H853" s="27"/>
      <c r="I853" s="29"/>
      <c r="J853" s="2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8"/>
      <c r="AR853" s="27"/>
      <c r="AS853" s="29"/>
      <c r="AT853" s="26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8"/>
      <c r="CB853" s="27"/>
      <c r="CC853" s="29"/>
      <c r="CD853" s="26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8"/>
      <c r="DL853" s="27"/>
      <c r="DM853" s="36"/>
      <c r="DN853" s="26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</row>
    <row r="854">
      <c r="A854" s="27"/>
      <c r="B854" s="27"/>
      <c r="C854" s="27"/>
      <c r="D854" s="27"/>
      <c r="E854" s="27"/>
      <c r="F854" s="27"/>
      <c r="G854" s="28"/>
      <c r="H854" s="27"/>
      <c r="I854" s="29"/>
      <c r="J854" s="2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8"/>
      <c r="AR854" s="27"/>
      <c r="AS854" s="29"/>
      <c r="AT854" s="26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8"/>
      <c r="CB854" s="27"/>
      <c r="CC854" s="29"/>
      <c r="CD854" s="26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8"/>
      <c r="DL854" s="27"/>
      <c r="DM854" s="36"/>
      <c r="DN854" s="26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</row>
    <row r="855">
      <c r="A855" s="27"/>
      <c r="B855" s="27"/>
      <c r="C855" s="27"/>
      <c r="D855" s="27"/>
      <c r="E855" s="27"/>
      <c r="F855" s="27"/>
      <c r="G855" s="28"/>
      <c r="H855" s="27"/>
      <c r="I855" s="29"/>
      <c r="J855" s="2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8"/>
      <c r="AR855" s="27"/>
      <c r="AS855" s="29"/>
      <c r="AT855" s="26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8"/>
      <c r="CB855" s="27"/>
      <c r="CC855" s="29"/>
      <c r="CD855" s="26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8"/>
      <c r="DL855" s="27"/>
      <c r="DM855" s="36"/>
      <c r="DN855" s="26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</row>
    <row r="856">
      <c r="A856" s="27"/>
      <c r="B856" s="27"/>
      <c r="C856" s="27"/>
      <c r="D856" s="27"/>
      <c r="E856" s="27"/>
      <c r="F856" s="27"/>
      <c r="G856" s="28"/>
      <c r="H856" s="27"/>
      <c r="I856" s="29"/>
      <c r="J856" s="2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8"/>
      <c r="AR856" s="27"/>
      <c r="AS856" s="29"/>
      <c r="AT856" s="26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8"/>
      <c r="CB856" s="27"/>
      <c r="CC856" s="29"/>
      <c r="CD856" s="26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8"/>
      <c r="DL856" s="27"/>
      <c r="DM856" s="36"/>
      <c r="DN856" s="26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</row>
    <row r="857">
      <c r="A857" s="27"/>
      <c r="B857" s="27"/>
      <c r="C857" s="27"/>
      <c r="D857" s="27"/>
      <c r="E857" s="27"/>
      <c r="F857" s="27"/>
      <c r="G857" s="28"/>
      <c r="H857" s="27"/>
      <c r="I857" s="29"/>
      <c r="J857" s="2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8"/>
      <c r="AR857" s="27"/>
      <c r="AS857" s="29"/>
      <c r="AT857" s="26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8"/>
      <c r="CB857" s="27"/>
      <c r="CC857" s="29"/>
      <c r="CD857" s="26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8"/>
      <c r="DL857" s="27"/>
      <c r="DM857" s="36"/>
      <c r="DN857" s="26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</row>
    <row r="858">
      <c r="A858" s="27"/>
      <c r="B858" s="27"/>
      <c r="C858" s="27"/>
      <c r="D858" s="27"/>
      <c r="E858" s="27"/>
      <c r="F858" s="27"/>
      <c r="G858" s="28"/>
      <c r="H858" s="27"/>
      <c r="I858" s="29"/>
      <c r="J858" s="2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8"/>
      <c r="AR858" s="27"/>
      <c r="AS858" s="29"/>
      <c r="AT858" s="26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8"/>
      <c r="CB858" s="27"/>
      <c r="CC858" s="29"/>
      <c r="CD858" s="26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8"/>
      <c r="DL858" s="27"/>
      <c r="DM858" s="36"/>
      <c r="DN858" s="26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</row>
    <row r="859">
      <c r="A859" s="27"/>
      <c r="B859" s="27"/>
      <c r="C859" s="27"/>
      <c r="D859" s="27"/>
      <c r="E859" s="27"/>
      <c r="F859" s="27"/>
      <c r="G859" s="28"/>
      <c r="H859" s="27"/>
      <c r="I859" s="29"/>
      <c r="J859" s="2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8"/>
      <c r="AR859" s="27"/>
      <c r="AS859" s="29"/>
      <c r="AT859" s="26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8"/>
      <c r="CB859" s="27"/>
      <c r="CC859" s="29"/>
      <c r="CD859" s="26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8"/>
      <c r="DL859" s="27"/>
      <c r="DM859" s="36"/>
      <c r="DN859" s="26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</row>
    <row r="860">
      <c r="A860" s="27"/>
      <c r="B860" s="27"/>
      <c r="C860" s="27"/>
      <c r="D860" s="27"/>
      <c r="E860" s="27"/>
      <c r="F860" s="27"/>
      <c r="G860" s="28"/>
      <c r="H860" s="27"/>
      <c r="I860" s="29"/>
      <c r="J860" s="2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8"/>
      <c r="AR860" s="27"/>
      <c r="AS860" s="29"/>
      <c r="AT860" s="26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8"/>
      <c r="CB860" s="27"/>
      <c r="CC860" s="29"/>
      <c r="CD860" s="26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8"/>
      <c r="DL860" s="27"/>
      <c r="DM860" s="36"/>
      <c r="DN860" s="26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</row>
    <row r="861">
      <c r="A861" s="27"/>
      <c r="B861" s="27"/>
      <c r="C861" s="27"/>
      <c r="D861" s="27"/>
      <c r="E861" s="27"/>
      <c r="F861" s="27"/>
      <c r="G861" s="28"/>
      <c r="H861" s="27"/>
      <c r="I861" s="29"/>
      <c r="J861" s="2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8"/>
      <c r="AR861" s="27"/>
      <c r="AS861" s="29"/>
      <c r="AT861" s="26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8"/>
      <c r="CB861" s="27"/>
      <c r="CC861" s="29"/>
      <c r="CD861" s="26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8"/>
      <c r="DL861" s="27"/>
      <c r="DM861" s="36"/>
      <c r="DN861" s="26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</row>
    <row r="862">
      <c r="A862" s="27"/>
      <c r="B862" s="27"/>
      <c r="C862" s="27"/>
      <c r="D862" s="27"/>
      <c r="E862" s="27"/>
      <c r="F862" s="27"/>
      <c r="G862" s="28"/>
      <c r="H862" s="27"/>
      <c r="I862" s="29"/>
      <c r="J862" s="2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8"/>
      <c r="AR862" s="27"/>
      <c r="AS862" s="29"/>
      <c r="AT862" s="26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8"/>
      <c r="CB862" s="27"/>
      <c r="CC862" s="29"/>
      <c r="CD862" s="26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8"/>
      <c r="DL862" s="27"/>
      <c r="DM862" s="36"/>
      <c r="DN862" s="26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</row>
    <row r="863">
      <c r="A863" s="27"/>
      <c r="B863" s="27"/>
      <c r="C863" s="27"/>
      <c r="D863" s="27"/>
      <c r="E863" s="27"/>
      <c r="F863" s="27"/>
      <c r="G863" s="28"/>
      <c r="H863" s="27"/>
      <c r="I863" s="29"/>
      <c r="J863" s="2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8"/>
      <c r="AR863" s="27"/>
      <c r="AS863" s="29"/>
      <c r="AT863" s="26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8"/>
      <c r="CB863" s="27"/>
      <c r="CC863" s="29"/>
      <c r="CD863" s="26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8"/>
      <c r="DL863" s="27"/>
      <c r="DM863" s="36"/>
      <c r="DN863" s="26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</row>
    <row r="864">
      <c r="A864" s="27"/>
      <c r="B864" s="27"/>
      <c r="C864" s="27"/>
      <c r="D864" s="27"/>
      <c r="E864" s="27"/>
      <c r="F864" s="27"/>
      <c r="G864" s="28"/>
      <c r="H864" s="27"/>
      <c r="I864" s="29"/>
      <c r="J864" s="2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8"/>
      <c r="AR864" s="27"/>
      <c r="AS864" s="29"/>
      <c r="AT864" s="26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8"/>
      <c r="CB864" s="27"/>
      <c r="CC864" s="29"/>
      <c r="CD864" s="26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8"/>
      <c r="DL864" s="27"/>
      <c r="DM864" s="36"/>
      <c r="DN864" s="26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</row>
    <row r="865">
      <c r="A865" s="27"/>
      <c r="B865" s="27"/>
      <c r="C865" s="27"/>
      <c r="D865" s="27"/>
      <c r="E865" s="27"/>
      <c r="F865" s="27"/>
      <c r="G865" s="28"/>
      <c r="H865" s="27"/>
      <c r="I865" s="29"/>
      <c r="J865" s="2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8"/>
      <c r="AR865" s="27"/>
      <c r="AS865" s="29"/>
      <c r="AT865" s="26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8"/>
      <c r="CB865" s="27"/>
      <c r="CC865" s="29"/>
      <c r="CD865" s="26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8"/>
      <c r="DL865" s="27"/>
      <c r="DM865" s="36"/>
      <c r="DN865" s="26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</row>
    <row r="866">
      <c r="A866" s="27"/>
      <c r="B866" s="27"/>
      <c r="C866" s="27"/>
      <c r="D866" s="27"/>
      <c r="E866" s="27"/>
      <c r="F866" s="27"/>
      <c r="G866" s="28"/>
      <c r="H866" s="27"/>
      <c r="I866" s="29"/>
      <c r="J866" s="2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8"/>
      <c r="AR866" s="27"/>
      <c r="AS866" s="29"/>
      <c r="AT866" s="26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8"/>
      <c r="CB866" s="27"/>
      <c r="CC866" s="29"/>
      <c r="CD866" s="26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8"/>
      <c r="DL866" s="27"/>
      <c r="DM866" s="36"/>
      <c r="DN866" s="26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</row>
    <row r="867">
      <c r="A867" s="27"/>
      <c r="B867" s="27"/>
      <c r="C867" s="27"/>
      <c r="D867" s="27"/>
      <c r="E867" s="27"/>
      <c r="F867" s="27"/>
      <c r="G867" s="28"/>
      <c r="H867" s="27"/>
      <c r="I867" s="29"/>
      <c r="J867" s="2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8"/>
      <c r="AR867" s="27"/>
      <c r="AS867" s="29"/>
      <c r="AT867" s="26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8"/>
      <c r="CB867" s="27"/>
      <c r="CC867" s="29"/>
      <c r="CD867" s="26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8"/>
      <c r="DL867" s="27"/>
      <c r="DM867" s="36"/>
      <c r="DN867" s="26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</row>
    <row r="868">
      <c r="A868" s="27"/>
      <c r="B868" s="27"/>
      <c r="C868" s="27"/>
      <c r="D868" s="27"/>
      <c r="E868" s="27"/>
      <c r="F868" s="27"/>
      <c r="G868" s="28"/>
      <c r="H868" s="27"/>
      <c r="I868" s="29"/>
      <c r="J868" s="2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8"/>
      <c r="AR868" s="27"/>
      <c r="AS868" s="29"/>
      <c r="AT868" s="26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8"/>
      <c r="CB868" s="27"/>
      <c r="CC868" s="29"/>
      <c r="CD868" s="26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8"/>
      <c r="DL868" s="27"/>
      <c r="DM868" s="36"/>
      <c r="DN868" s="26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</row>
    <row r="869">
      <c r="A869" s="27"/>
      <c r="B869" s="27"/>
      <c r="C869" s="27"/>
      <c r="D869" s="27"/>
      <c r="E869" s="27"/>
      <c r="F869" s="27"/>
      <c r="G869" s="28"/>
      <c r="H869" s="27"/>
      <c r="I869" s="29"/>
      <c r="J869" s="2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8"/>
      <c r="AR869" s="27"/>
      <c r="AS869" s="29"/>
      <c r="AT869" s="26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8"/>
      <c r="CB869" s="27"/>
      <c r="CC869" s="29"/>
      <c r="CD869" s="26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8"/>
      <c r="DL869" s="27"/>
      <c r="DM869" s="36"/>
      <c r="DN869" s="26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</row>
    <row r="870">
      <c r="A870" s="27"/>
      <c r="B870" s="27"/>
      <c r="C870" s="27"/>
      <c r="D870" s="27"/>
      <c r="E870" s="27"/>
      <c r="F870" s="27"/>
      <c r="G870" s="28"/>
      <c r="H870" s="27"/>
      <c r="I870" s="29"/>
      <c r="J870" s="2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8"/>
      <c r="AR870" s="27"/>
      <c r="AS870" s="29"/>
      <c r="AT870" s="26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8"/>
      <c r="CB870" s="27"/>
      <c r="CC870" s="29"/>
      <c r="CD870" s="26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8"/>
      <c r="DL870" s="27"/>
      <c r="DM870" s="36"/>
      <c r="DN870" s="26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</row>
    <row r="871">
      <c r="A871" s="27"/>
      <c r="B871" s="27"/>
      <c r="C871" s="27"/>
      <c r="D871" s="27"/>
      <c r="E871" s="27"/>
      <c r="F871" s="27"/>
      <c r="G871" s="28"/>
      <c r="H871" s="27"/>
      <c r="I871" s="29"/>
      <c r="J871" s="2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8"/>
      <c r="AR871" s="27"/>
      <c r="AS871" s="29"/>
      <c r="AT871" s="26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8"/>
      <c r="CB871" s="27"/>
      <c r="CC871" s="29"/>
      <c r="CD871" s="26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8"/>
      <c r="DL871" s="27"/>
      <c r="DM871" s="36"/>
      <c r="DN871" s="26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</row>
    <row r="872">
      <c r="A872" s="27"/>
      <c r="B872" s="27"/>
      <c r="C872" s="27"/>
      <c r="D872" s="27"/>
      <c r="E872" s="27"/>
      <c r="F872" s="27"/>
      <c r="G872" s="28"/>
      <c r="H872" s="27"/>
      <c r="I872" s="29"/>
      <c r="J872" s="2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8"/>
      <c r="AR872" s="27"/>
      <c r="AS872" s="29"/>
      <c r="AT872" s="26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8"/>
      <c r="CB872" s="27"/>
      <c r="CC872" s="29"/>
      <c r="CD872" s="26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8"/>
      <c r="DL872" s="27"/>
      <c r="DM872" s="36"/>
      <c r="DN872" s="26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</row>
    <row r="873">
      <c r="A873" s="27"/>
      <c r="B873" s="27"/>
      <c r="C873" s="27"/>
      <c r="D873" s="27"/>
      <c r="E873" s="27"/>
      <c r="F873" s="27"/>
      <c r="G873" s="28"/>
      <c r="H873" s="27"/>
      <c r="I873" s="29"/>
      <c r="J873" s="2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8"/>
      <c r="AR873" s="27"/>
      <c r="AS873" s="29"/>
      <c r="AT873" s="26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8"/>
      <c r="CB873" s="27"/>
      <c r="CC873" s="29"/>
      <c r="CD873" s="26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8"/>
      <c r="DL873" s="27"/>
      <c r="DM873" s="36"/>
      <c r="DN873" s="26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</row>
    <row r="874">
      <c r="A874" s="27"/>
      <c r="B874" s="27"/>
      <c r="C874" s="27"/>
      <c r="D874" s="27"/>
      <c r="E874" s="27"/>
      <c r="F874" s="27"/>
      <c r="G874" s="28"/>
      <c r="H874" s="27"/>
      <c r="I874" s="29"/>
      <c r="J874" s="2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8"/>
      <c r="AR874" s="27"/>
      <c r="AS874" s="29"/>
      <c r="AT874" s="26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8"/>
      <c r="CB874" s="27"/>
      <c r="CC874" s="29"/>
      <c r="CD874" s="26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8"/>
      <c r="DL874" s="27"/>
      <c r="DM874" s="36"/>
      <c r="DN874" s="26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</row>
    <row r="875">
      <c r="A875" s="27"/>
      <c r="B875" s="27"/>
      <c r="C875" s="27"/>
      <c r="D875" s="27"/>
      <c r="E875" s="27"/>
      <c r="F875" s="27"/>
      <c r="G875" s="28"/>
      <c r="H875" s="27"/>
      <c r="I875" s="29"/>
      <c r="J875" s="2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8"/>
      <c r="AR875" s="27"/>
      <c r="AS875" s="29"/>
      <c r="AT875" s="26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8"/>
      <c r="CB875" s="27"/>
      <c r="CC875" s="29"/>
      <c r="CD875" s="26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8"/>
      <c r="DL875" s="27"/>
      <c r="DM875" s="36"/>
      <c r="DN875" s="26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</row>
    <row r="876">
      <c r="A876" s="27"/>
      <c r="B876" s="27"/>
      <c r="C876" s="27"/>
      <c r="D876" s="27"/>
      <c r="E876" s="27"/>
      <c r="F876" s="27"/>
      <c r="G876" s="28"/>
      <c r="H876" s="27"/>
      <c r="I876" s="29"/>
      <c r="J876" s="2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8"/>
      <c r="AR876" s="27"/>
      <c r="AS876" s="29"/>
      <c r="AT876" s="26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8"/>
      <c r="CB876" s="27"/>
      <c r="CC876" s="29"/>
      <c r="CD876" s="26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8"/>
      <c r="DL876" s="27"/>
      <c r="DM876" s="36"/>
      <c r="DN876" s="26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</row>
    <row r="877">
      <c r="A877" s="27"/>
      <c r="B877" s="27"/>
      <c r="C877" s="27"/>
      <c r="D877" s="27"/>
      <c r="E877" s="27"/>
      <c r="F877" s="27"/>
      <c r="G877" s="28"/>
      <c r="H877" s="27"/>
      <c r="I877" s="29"/>
      <c r="J877" s="2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8"/>
      <c r="AR877" s="27"/>
      <c r="AS877" s="29"/>
      <c r="AT877" s="26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8"/>
      <c r="CB877" s="27"/>
      <c r="CC877" s="29"/>
      <c r="CD877" s="26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8"/>
      <c r="DL877" s="27"/>
      <c r="DM877" s="36"/>
      <c r="DN877" s="26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</row>
    <row r="878">
      <c r="A878" s="27"/>
      <c r="B878" s="27"/>
      <c r="C878" s="27"/>
      <c r="D878" s="27"/>
      <c r="E878" s="27"/>
      <c r="F878" s="27"/>
      <c r="G878" s="28"/>
      <c r="H878" s="27"/>
      <c r="I878" s="29"/>
      <c r="J878" s="2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8"/>
      <c r="AR878" s="27"/>
      <c r="AS878" s="29"/>
      <c r="AT878" s="26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8"/>
      <c r="CB878" s="27"/>
      <c r="CC878" s="29"/>
      <c r="CD878" s="26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8"/>
      <c r="DL878" s="27"/>
      <c r="DM878" s="36"/>
      <c r="DN878" s="26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</row>
    <row r="879">
      <c r="A879" s="27"/>
      <c r="B879" s="27"/>
      <c r="C879" s="27"/>
      <c r="D879" s="27"/>
      <c r="E879" s="27"/>
      <c r="F879" s="27"/>
      <c r="G879" s="28"/>
      <c r="H879" s="27"/>
      <c r="I879" s="29"/>
      <c r="J879" s="2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8"/>
      <c r="AR879" s="27"/>
      <c r="AS879" s="29"/>
      <c r="AT879" s="26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8"/>
      <c r="CB879" s="27"/>
      <c r="CC879" s="29"/>
      <c r="CD879" s="26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8"/>
      <c r="DL879" s="27"/>
      <c r="DM879" s="36"/>
      <c r="DN879" s="26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</row>
    <row r="880">
      <c r="A880" s="27"/>
      <c r="B880" s="27"/>
      <c r="C880" s="27"/>
      <c r="D880" s="27"/>
      <c r="E880" s="27"/>
      <c r="F880" s="27"/>
      <c r="G880" s="28"/>
      <c r="H880" s="27"/>
      <c r="I880" s="29"/>
      <c r="J880" s="2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8"/>
      <c r="AR880" s="27"/>
      <c r="AS880" s="29"/>
      <c r="AT880" s="26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8"/>
      <c r="CB880" s="27"/>
      <c r="CC880" s="29"/>
      <c r="CD880" s="26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8"/>
      <c r="DL880" s="27"/>
      <c r="DM880" s="36"/>
      <c r="DN880" s="26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</row>
    <row r="881">
      <c r="A881" s="27"/>
      <c r="B881" s="27"/>
      <c r="C881" s="27"/>
      <c r="D881" s="27"/>
      <c r="E881" s="27"/>
      <c r="F881" s="27"/>
      <c r="G881" s="28"/>
      <c r="H881" s="27"/>
      <c r="I881" s="29"/>
      <c r="J881" s="2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8"/>
      <c r="AR881" s="27"/>
      <c r="AS881" s="29"/>
      <c r="AT881" s="26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8"/>
      <c r="CB881" s="27"/>
      <c r="CC881" s="29"/>
      <c r="CD881" s="26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8"/>
      <c r="DL881" s="27"/>
      <c r="DM881" s="36"/>
      <c r="DN881" s="26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</row>
    <row r="882">
      <c r="A882" s="27"/>
      <c r="B882" s="27"/>
      <c r="C882" s="27"/>
      <c r="D882" s="27"/>
      <c r="E882" s="27"/>
      <c r="F882" s="27"/>
      <c r="G882" s="28"/>
      <c r="H882" s="27"/>
      <c r="I882" s="29"/>
      <c r="J882" s="2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8"/>
      <c r="AR882" s="27"/>
      <c r="AS882" s="29"/>
      <c r="AT882" s="26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8"/>
      <c r="CB882" s="27"/>
      <c r="CC882" s="29"/>
      <c r="CD882" s="26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8"/>
      <c r="DL882" s="27"/>
      <c r="DM882" s="36"/>
      <c r="DN882" s="26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</row>
    <row r="883">
      <c r="A883" s="27"/>
      <c r="B883" s="27"/>
      <c r="C883" s="27"/>
      <c r="D883" s="27"/>
      <c r="E883" s="27"/>
      <c r="F883" s="27"/>
      <c r="G883" s="28"/>
      <c r="H883" s="27"/>
      <c r="I883" s="29"/>
      <c r="J883" s="2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8"/>
      <c r="AR883" s="27"/>
      <c r="AS883" s="29"/>
      <c r="AT883" s="26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8"/>
      <c r="CB883" s="27"/>
      <c r="CC883" s="29"/>
      <c r="CD883" s="26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8"/>
      <c r="DL883" s="27"/>
      <c r="DM883" s="36"/>
      <c r="DN883" s="26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</row>
    <row r="884">
      <c r="A884" s="27"/>
      <c r="B884" s="27"/>
      <c r="C884" s="27"/>
      <c r="D884" s="27"/>
      <c r="E884" s="27"/>
      <c r="F884" s="27"/>
      <c r="G884" s="28"/>
      <c r="H884" s="27"/>
      <c r="I884" s="29"/>
      <c r="J884" s="2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8"/>
      <c r="AR884" s="27"/>
      <c r="AS884" s="29"/>
      <c r="AT884" s="26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8"/>
      <c r="CB884" s="27"/>
      <c r="CC884" s="29"/>
      <c r="CD884" s="26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8"/>
      <c r="DL884" s="27"/>
      <c r="DM884" s="36"/>
      <c r="DN884" s="26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</row>
    <row r="885">
      <c r="A885" s="27"/>
      <c r="B885" s="27"/>
      <c r="C885" s="27"/>
      <c r="D885" s="27"/>
      <c r="E885" s="27"/>
      <c r="F885" s="27"/>
      <c r="G885" s="28"/>
      <c r="H885" s="27"/>
      <c r="I885" s="29"/>
      <c r="J885" s="2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8"/>
      <c r="AR885" s="27"/>
      <c r="AS885" s="29"/>
      <c r="AT885" s="26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8"/>
      <c r="CB885" s="27"/>
      <c r="CC885" s="29"/>
      <c r="CD885" s="26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8"/>
      <c r="DL885" s="27"/>
      <c r="DM885" s="36"/>
      <c r="DN885" s="26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</row>
    <row r="886">
      <c r="A886" s="27"/>
      <c r="B886" s="27"/>
      <c r="C886" s="27"/>
      <c r="D886" s="27"/>
      <c r="E886" s="27"/>
      <c r="F886" s="27"/>
      <c r="G886" s="28"/>
      <c r="H886" s="27"/>
      <c r="I886" s="29"/>
      <c r="J886" s="2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8"/>
      <c r="AR886" s="27"/>
      <c r="AS886" s="29"/>
      <c r="AT886" s="26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8"/>
      <c r="CB886" s="27"/>
      <c r="CC886" s="29"/>
      <c r="CD886" s="26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8"/>
      <c r="DL886" s="27"/>
      <c r="DM886" s="36"/>
      <c r="DN886" s="26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</row>
    <row r="887">
      <c r="A887" s="27"/>
      <c r="B887" s="27"/>
      <c r="C887" s="27"/>
      <c r="D887" s="27"/>
      <c r="E887" s="27"/>
      <c r="F887" s="27"/>
      <c r="G887" s="28"/>
      <c r="H887" s="27"/>
      <c r="I887" s="29"/>
      <c r="J887" s="2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8"/>
      <c r="AR887" s="27"/>
      <c r="AS887" s="29"/>
      <c r="AT887" s="26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8"/>
      <c r="CB887" s="27"/>
      <c r="CC887" s="29"/>
      <c r="CD887" s="26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8"/>
      <c r="DL887" s="27"/>
      <c r="DM887" s="36"/>
      <c r="DN887" s="26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</row>
    <row r="888">
      <c r="A888" s="27"/>
      <c r="B888" s="27"/>
      <c r="C888" s="27"/>
      <c r="D888" s="27"/>
      <c r="E888" s="27"/>
      <c r="F888" s="27"/>
      <c r="G888" s="28"/>
      <c r="H888" s="27"/>
      <c r="I888" s="29"/>
      <c r="J888" s="2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8"/>
      <c r="AR888" s="27"/>
      <c r="AS888" s="29"/>
      <c r="AT888" s="26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8"/>
      <c r="CB888" s="27"/>
      <c r="CC888" s="29"/>
      <c r="CD888" s="26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8"/>
      <c r="DL888" s="27"/>
      <c r="DM888" s="36"/>
      <c r="DN888" s="26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</row>
    <row r="889">
      <c r="A889" s="27"/>
      <c r="B889" s="27"/>
      <c r="C889" s="27"/>
      <c r="D889" s="27"/>
      <c r="E889" s="27"/>
      <c r="F889" s="27"/>
      <c r="G889" s="28"/>
      <c r="H889" s="27"/>
      <c r="I889" s="29"/>
      <c r="J889" s="2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8"/>
      <c r="AR889" s="27"/>
      <c r="AS889" s="29"/>
      <c r="AT889" s="26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8"/>
      <c r="CB889" s="27"/>
      <c r="CC889" s="29"/>
      <c r="CD889" s="26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8"/>
      <c r="DL889" s="27"/>
      <c r="DM889" s="36"/>
      <c r="DN889" s="26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</row>
    <row r="890">
      <c r="A890" s="27"/>
      <c r="B890" s="27"/>
      <c r="C890" s="27"/>
      <c r="D890" s="27"/>
      <c r="E890" s="27"/>
      <c r="F890" s="27"/>
      <c r="G890" s="28"/>
      <c r="H890" s="27"/>
      <c r="I890" s="29"/>
      <c r="J890" s="2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8"/>
      <c r="AR890" s="27"/>
      <c r="AS890" s="29"/>
      <c r="AT890" s="26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8"/>
      <c r="CB890" s="27"/>
      <c r="CC890" s="29"/>
      <c r="CD890" s="26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8"/>
      <c r="DL890" s="27"/>
      <c r="DM890" s="36"/>
      <c r="DN890" s="26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</row>
    <row r="891">
      <c r="A891" s="27"/>
      <c r="B891" s="27"/>
      <c r="C891" s="27"/>
      <c r="D891" s="27"/>
      <c r="E891" s="27"/>
      <c r="F891" s="27"/>
      <c r="G891" s="28"/>
      <c r="H891" s="27"/>
      <c r="I891" s="29"/>
      <c r="J891" s="2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8"/>
      <c r="AR891" s="27"/>
      <c r="AS891" s="29"/>
      <c r="AT891" s="26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8"/>
      <c r="CB891" s="27"/>
      <c r="CC891" s="29"/>
      <c r="CD891" s="26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8"/>
      <c r="DL891" s="27"/>
      <c r="DM891" s="36"/>
      <c r="DN891" s="26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</row>
    <row r="892">
      <c r="A892" s="27"/>
      <c r="B892" s="27"/>
      <c r="C892" s="27"/>
      <c r="D892" s="27"/>
      <c r="E892" s="27"/>
      <c r="F892" s="27"/>
      <c r="G892" s="28"/>
      <c r="H892" s="27"/>
      <c r="I892" s="29"/>
      <c r="J892" s="2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8"/>
      <c r="AR892" s="27"/>
      <c r="AS892" s="29"/>
      <c r="AT892" s="26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8"/>
      <c r="CB892" s="27"/>
      <c r="CC892" s="29"/>
      <c r="CD892" s="26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8"/>
      <c r="DL892" s="27"/>
      <c r="DM892" s="36"/>
      <c r="DN892" s="26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</row>
    <row r="893">
      <c r="A893" s="27"/>
      <c r="B893" s="27"/>
      <c r="C893" s="27"/>
      <c r="D893" s="27"/>
      <c r="E893" s="27"/>
      <c r="F893" s="27"/>
      <c r="G893" s="28"/>
      <c r="H893" s="27"/>
      <c r="I893" s="29"/>
      <c r="J893" s="2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8"/>
      <c r="AR893" s="27"/>
      <c r="AS893" s="29"/>
      <c r="AT893" s="26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8"/>
      <c r="CB893" s="27"/>
      <c r="CC893" s="29"/>
      <c r="CD893" s="26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8"/>
      <c r="DL893" s="27"/>
      <c r="DM893" s="36"/>
      <c r="DN893" s="26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</row>
    <row r="894">
      <c r="A894" s="27"/>
      <c r="B894" s="27"/>
      <c r="C894" s="27"/>
      <c r="D894" s="27"/>
      <c r="E894" s="27"/>
      <c r="F894" s="27"/>
      <c r="G894" s="28"/>
      <c r="H894" s="27"/>
      <c r="I894" s="29"/>
      <c r="J894" s="2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8"/>
      <c r="AR894" s="27"/>
      <c r="AS894" s="29"/>
      <c r="AT894" s="26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8"/>
      <c r="CB894" s="27"/>
      <c r="CC894" s="29"/>
      <c r="CD894" s="26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8"/>
      <c r="DL894" s="27"/>
      <c r="DM894" s="36"/>
      <c r="DN894" s="26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</row>
    <row r="895">
      <c r="A895" s="27"/>
      <c r="B895" s="27"/>
      <c r="C895" s="27"/>
      <c r="D895" s="27"/>
      <c r="E895" s="27"/>
      <c r="F895" s="27"/>
      <c r="G895" s="28"/>
      <c r="H895" s="27"/>
      <c r="I895" s="29"/>
      <c r="J895" s="2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8"/>
      <c r="AR895" s="27"/>
      <c r="AS895" s="29"/>
      <c r="AT895" s="26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8"/>
      <c r="CB895" s="27"/>
      <c r="CC895" s="29"/>
      <c r="CD895" s="26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8"/>
      <c r="DL895" s="27"/>
      <c r="DM895" s="36"/>
      <c r="DN895" s="26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</row>
    <row r="896">
      <c r="A896" s="27"/>
      <c r="B896" s="27"/>
      <c r="C896" s="27"/>
      <c r="D896" s="27"/>
      <c r="E896" s="27"/>
      <c r="F896" s="27"/>
      <c r="G896" s="28"/>
      <c r="H896" s="27"/>
      <c r="I896" s="29"/>
      <c r="J896" s="2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8"/>
      <c r="AR896" s="27"/>
      <c r="AS896" s="29"/>
      <c r="AT896" s="26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8"/>
      <c r="CB896" s="27"/>
      <c r="CC896" s="29"/>
      <c r="CD896" s="26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8"/>
      <c r="DL896" s="27"/>
      <c r="DM896" s="36"/>
      <c r="DN896" s="26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</row>
    <row r="897">
      <c r="A897" s="27"/>
      <c r="B897" s="27"/>
      <c r="C897" s="27"/>
      <c r="D897" s="27"/>
      <c r="E897" s="27"/>
      <c r="F897" s="27"/>
      <c r="G897" s="28"/>
      <c r="H897" s="27"/>
      <c r="I897" s="29"/>
      <c r="J897" s="2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8"/>
      <c r="AR897" s="27"/>
      <c r="AS897" s="29"/>
      <c r="AT897" s="26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8"/>
      <c r="CB897" s="27"/>
      <c r="CC897" s="29"/>
      <c r="CD897" s="26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8"/>
      <c r="DL897" s="27"/>
      <c r="DM897" s="36"/>
      <c r="DN897" s="26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</row>
    <row r="898">
      <c r="A898" s="27"/>
      <c r="B898" s="27"/>
      <c r="C898" s="27"/>
      <c r="D898" s="27"/>
      <c r="E898" s="27"/>
      <c r="F898" s="27"/>
      <c r="G898" s="28"/>
      <c r="H898" s="27"/>
      <c r="I898" s="29"/>
      <c r="J898" s="2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8"/>
      <c r="AR898" s="27"/>
      <c r="AS898" s="29"/>
      <c r="AT898" s="26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8"/>
      <c r="CB898" s="27"/>
      <c r="CC898" s="29"/>
      <c r="CD898" s="26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8"/>
      <c r="DL898" s="27"/>
      <c r="DM898" s="36"/>
      <c r="DN898" s="26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</row>
    <row r="899">
      <c r="A899" s="27"/>
      <c r="B899" s="27"/>
      <c r="C899" s="27"/>
      <c r="D899" s="27"/>
      <c r="E899" s="27"/>
      <c r="F899" s="27"/>
      <c r="G899" s="28"/>
      <c r="H899" s="27"/>
      <c r="I899" s="29"/>
      <c r="J899" s="2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8"/>
      <c r="AR899" s="27"/>
      <c r="AS899" s="29"/>
      <c r="AT899" s="26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8"/>
      <c r="CB899" s="27"/>
      <c r="CC899" s="29"/>
      <c r="CD899" s="26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8"/>
      <c r="DL899" s="27"/>
      <c r="DM899" s="36"/>
      <c r="DN899" s="26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</row>
    <row r="900">
      <c r="A900" s="27"/>
      <c r="B900" s="27"/>
      <c r="C900" s="27"/>
      <c r="D900" s="27"/>
      <c r="E900" s="27"/>
      <c r="F900" s="27"/>
      <c r="G900" s="28"/>
      <c r="H900" s="27"/>
      <c r="I900" s="29"/>
      <c r="J900" s="2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8"/>
      <c r="AR900" s="27"/>
      <c r="AS900" s="29"/>
      <c r="AT900" s="26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8"/>
      <c r="CB900" s="27"/>
      <c r="CC900" s="29"/>
      <c r="CD900" s="26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8"/>
      <c r="DL900" s="27"/>
      <c r="DM900" s="36"/>
      <c r="DN900" s="26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</row>
    <row r="901">
      <c r="A901" s="27"/>
      <c r="B901" s="27"/>
      <c r="C901" s="27"/>
      <c r="D901" s="27"/>
      <c r="E901" s="27"/>
      <c r="F901" s="27"/>
      <c r="G901" s="28"/>
      <c r="H901" s="27"/>
      <c r="I901" s="29"/>
      <c r="J901" s="2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8"/>
      <c r="AR901" s="27"/>
      <c r="AS901" s="29"/>
      <c r="AT901" s="26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8"/>
      <c r="CB901" s="27"/>
      <c r="CC901" s="29"/>
      <c r="CD901" s="26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8"/>
      <c r="DL901" s="27"/>
      <c r="DM901" s="36"/>
      <c r="DN901" s="26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</row>
    <row r="902">
      <c r="A902" s="27"/>
      <c r="B902" s="27"/>
      <c r="C902" s="27"/>
      <c r="D902" s="27"/>
      <c r="E902" s="27"/>
      <c r="F902" s="27"/>
      <c r="G902" s="28"/>
      <c r="H902" s="27"/>
      <c r="I902" s="29"/>
      <c r="J902" s="2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8"/>
      <c r="AR902" s="27"/>
      <c r="AS902" s="29"/>
      <c r="AT902" s="26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8"/>
      <c r="CB902" s="27"/>
      <c r="CC902" s="29"/>
      <c r="CD902" s="26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8"/>
      <c r="DL902" s="27"/>
      <c r="DM902" s="36"/>
      <c r="DN902" s="26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</row>
    <row r="903">
      <c r="A903" s="27"/>
      <c r="B903" s="27"/>
      <c r="C903" s="27"/>
      <c r="D903" s="27"/>
      <c r="E903" s="27"/>
      <c r="F903" s="27"/>
      <c r="G903" s="28"/>
      <c r="H903" s="27"/>
      <c r="I903" s="29"/>
      <c r="J903" s="2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8"/>
      <c r="AR903" s="27"/>
      <c r="AS903" s="29"/>
      <c r="AT903" s="26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8"/>
      <c r="CB903" s="27"/>
      <c r="CC903" s="29"/>
      <c r="CD903" s="26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8"/>
      <c r="DL903" s="27"/>
      <c r="DM903" s="36"/>
      <c r="DN903" s="26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</row>
    <row r="904">
      <c r="A904" s="27"/>
      <c r="B904" s="27"/>
      <c r="C904" s="27"/>
      <c r="D904" s="27"/>
      <c r="E904" s="27"/>
      <c r="F904" s="27"/>
      <c r="G904" s="28"/>
      <c r="H904" s="27"/>
      <c r="I904" s="29"/>
      <c r="J904" s="2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8"/>
      <c r="AR904" s="27"/>
      <c r="AS904" s="29"/>
      <c r="AT904" s="26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8"/>
      <c r="CB904" s="27"/>
      <c r="CC904" s="29"/>
      <c r="CD904" s="26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8"/>
      <c r="DL904" s="27"/>
      <c r="DM904" s="36"/>
      <c r="DN904" s="26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</row>
    <row r="905">
      <c r="A905" s="27"/>
      <c r="B905" s="27"/>
      <c r="C905" s="27"/>
      <c r="D905" s="27"/>
      <c r="E905" s="27"/>
      <c r="F905" s="27"/>
      <c r="G905" s="28"/>
      <c r="H905" s="27"/>
      <c r="I905" s="29"/>
      <c r="J905" s="2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8"/>
      <c r="AR905" s="27"/>
      <c r="AS905" s="29"/>
      <c r="AT905" s="26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8"/>
      <c r="CB905" s="27"/>
      <c r="CC905" s="29"/>
      <c r="CD905" s="26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8"/>
      <c r="DL905" s="27"/>
      <c r="DM905" s="36"/>
      <c r="DN905" s="26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</row>
    <row r="906">
      <c r="A906" s="27"/>
      <c r="B906" s="27"/>
      <c r="C906" s="27"/>
      <c r="D906" s="27"/>
      <c r="E906" s="27"/>
      <c r="F906" s="27"/>
      <c r="G906" s="28"/>
      <c r="H906" s="27"/>
      <c r="I906" s="29"/>
      <c r="J906" s="2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8"/>
      <c r="AR906" s="27"/>
      <c r="AS906" s="29"/>
      <c r="AT906" s="26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8"/>
      <c r="CB906" s="27"/>
      <c r="CC906" s="29"/>
      <c r="CD906" s="26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8"/>
      <c r="DL906" s="27"/>
      <c r="DM906" s="36"/>
      <c r="DN906" s="26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</row>
    <row r="907">
      <c r="A907" s="27"/>
      <c r="B907" s="27"/>
      <c r="C907" s="27"/>
      <c r="D907" s="27"/>
      <c r="E907" s="27"/>
      <c r="F907" s="27"/>
      <c r="G907" s="28"/>
      <c r="H907" s="27"/>
      <c r="I907" s="29"/>
      <c r="J907" s="2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8"/>
      <c r="AR907" s="27"/>
      <c r="AS907" s="29"/>
      <c r="AT907" s="26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8"/>
      <c r="CB907" s="27"/>
      <c r="CC907" s="29"/>
      <c r="CD907" s="26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8"/>
      <c r="DL907" s="27"/>
      <c r="DM907" s="36"/>
      <c r="DN907" s="26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</row>
    <row r="908">
      <c r="A908" s="27"/>
      <c r="B908" s="27"/>
      <c r="C908" s="27"/>
      <c r="D908" s="27"/>
      <c r="E908" s="27"/>
      <c r="F908" s="27"/>
      <c r="G908" s="28"/>
      <c r="H908" s="27"/>
      <c r="I908" s="29"/>
      <c r="J908" s="2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8"/>
      <c r="AR908" s="27"/>
      <c r="AS908" s="29"/>
      <c r="AT908" s="26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8"/>
      <c r="CB908" s="27"/>
      <c r="CC908" s="29"/>
      <c r="CD908" s="26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8"/>
      <c r="DL908" s="27"/>
      <c r="DM908" s="36"/>
      <c r="DN908" s="26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</row>
    <row r="909">
      <c r="A909" s="27"/>
      <c r="B909" s="27"/>
      <c r="C909" s="27"/>
      <c r="D909" s="27"/>
      <c r="E909" s="27"/>
      <c r="F909" s="27"/>
      <c r="G909" s="28"/>
      <c r="H909" s="27"/>
      <c r="I909" s="29"/>
      <c r="J909" s="2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8"/>
      <c r="AR909" s="27"/>
      <c r="AS909" s="29"/>
      <c r="AT909" s="26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8"/>
      <c r="CB909" s="27"/>
      <c r="CC909" s="29"/>
      <c r="CD909" s="26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8"/>
      <c r="DL909" s="27"/>
      <c r="DM909" s="36"/>
      <c r="DN909" s="26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</row>
    <row r="910">
      <c r="A910" s="27"/>
      <c r="B910" s="27"/>
      <c r="C910" s="27"/>
      <c r="D910" s="27"/>
      <c r="E910" s="27"/>
      <c r="F910" s="27"/>
      <c r="G910" s="28"/>
      <c r="H910" s="27"/>
      <c r="I910" s="29"/>
      <c r="J910" s="2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8"/>
      <c r="AR910" s="27"/>
      <c r="AS910" s="29"/>
      <c r="AT910" s="26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8"/>
      <c r="CB910" s="27"/>
      <c r="CC910" s="29"/>
      <c r="CD910" s="26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8"/>
      <c r="DL910" s="27"/>
      <c r="DM910" s="36"/>
      <c r="DN910" s="26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</row>
    <row r="911">
      <c r="A911" s="27"/>
      <c r="B911" s="27"/>
      <c r="C911" s="27"/>
      <c r="D911" s="27"/>
      <c r="E911" s="27"/>
      <c r="F911" s="27"/>
      <c r="G911" s="28"/>
      <c r="H911" s="27"/>
      <c r="I911" s="29"/>
      <c r="J911" s="2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8"/>
      <c r="AR911" s="27"/>
      <c r="AS911" s="29"/>
      <c r="AT911" s="26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8"/>
      <c r="CB911" s="27"/>
      <c r="CC911" s="29"/>
      <c r="CD911" s="26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8"/>
      <c r="DL911" s="27"/>
      <c r="DM911" s="36"/>
      <c r="DN911" s="26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</row>
    <row r="912">
      <c r="A912" s="27"/>
      <c r="B912" s="27"/>
      <c r="C912" s="27"/>
      <c r="D912" s="27"/>
      <c r="E912" s="27"/>
      <c r="F912" s="27"/>
      <c r="G912" s="28"/>
      <c r="H912" s="27"/>
      <c r="I912" s="29"/>
      <c r="J912" s="2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8"/>
      <c r="AR912" s="27"/>
      <c r="AS912" s="29"/>
      <c r="AT912" s="26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8"/>
      <c r="CB912" s="27"/>
      <c r="CC912" s="29"/>
      <c r="CD912" s="26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8"/>
      <c r="DL912" s="27"/>
      <c r="DM912" s="36"/>
      <c r="DN912" s="26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</row>
    <row r="913">
      <c r="A913" s="27"/>
      <c r="B913" s="27"/>
      <c r="C913" s="27"/>
      <c r="D913" s="27"/>
      <c r="E913" s="27"/>
      <c r="F913" s="27"/>
      <c r="G913" s="28"/>
      <c r="H913" s="27"/>
      <c r="I913" s="29"/>
      <c r="J913" s="2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8"/>
      <c r="AR913" s="27"/>
      <c r="AS913" s="29"/>
      <c r="AT913" s="26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8"/>
      <c r="CB913" s="27"/>
      <c r="CC913" s="29"/>
      <c r="CD913" s="26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8"/>
      <c r="DL913" s="27"/>
      <c r="DM913" s="36"/>
      <c r="DN913" s="26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</row>
    <row r="914">
      <c r="A914" s="27"/>
      <c r="B914" s="27"/>
      <c r="C914" s="27"/>
      <c r="D914" s="27"/>
      <c r="E914" s="27"/>
      <c r="F914" s="27"/>
      <c r="G914" s="28"/>
      <c r="H914" s="27"/>
      <c r="I914" s="29"/>
      <c r="J914" s="2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8"/>
      <c r="AR914" s="27"/>
      <c r="AS914" s="29"/>
      <c r="AT914" s="26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8"/>
      <c r="CB914" s="27"/>
      <c r="CC914" s="29"/>
      <c r="CD914" s="26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8"/>
      <c r="DL914" s="27"/>
      <c r="DM914" s="36"/>
      <c r="DN914" s="26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</row>
    <row r="915">
      <c r="A915" s="27"/>
      <c r="B915" s="27"/>
      <c r="C915" s="27"/>
      <c r="D915" s="27"/>
      <c r="E915" s="27"/>
      <c r="F915" s="27"/>
      <c r="G915" s="28"/>
      <c r="H915" s="27"/>
      <c r="I915" s="29"/>
      <c r="J915" s="2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8"/>
      <c r="AR915" s="27"/>
      <c r="AS915" s="29"/>
      <c r="AT915" s="26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8"/>
      <c r="CB915" s="27"/>
      <c r="CC915" s="29"/>
      <c r="CD915" s="26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8"/>
      <c r="DL915" s="27"/>
      <c r="DM915" s="36"/>
      <c r="DN915" s="26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</row>
    <row r="916">
      <c r="A916" s="27"/>
      <c r="B916" s="27"/>
      <c r="C916" s="27"/>
      <c r="D916" s="27"/>
      <c r="E916" s="27"/>
      <c r="F916" s="27"/>
      <c r="G916" s="28"/>
      <c r="H916" s="27"/>
      <c r="I916" s="29"/>
      <c r="J916" s="2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8"/>
      <c r="AR916" s="27"/>
      <c r="AS916" s="29"/>
      <c r="AT916" s="26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8"/>
      <c r="CB916" s="27"/>
      <c r="CC916" s="29"/>
      <c r="CD916" s="26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8"/>
      <c r="DL916" s="27"/>
      <c r="DM916" s="36"/>
      <c r="DN916" s="26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</row>
    <row r="917">
      <c r="A917" s="27"/>
      <c r="B917" s="27"/>
      <c r="C917" s="27"/>
      <c r="D917" s="27"/>
      <c r="E917" s="27"/>
      <c r="F917" s="27"/>
      <c r="G917" s="28"/>
      <c r="H917" s="27"/>
      <c r="I917" s="29"/>
      <c r="J917" s="2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8"/>
      <c r="AR917" s="27"/>
      <c r="AS917" s="29"/>
      <c r="AT917" s="26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8"/>
      <c r="CB917" s="27"/>
      <c r="CC917" s="29"/>
      <c r="CD917" s="26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8"/>
      <c r="DL917" s="27"/>
      <c r="DM917" s="36"/>
      <c r="DN917" s="26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</row>
    <row r="918">
      <c r="A918" s="27"/>
      <c r="B918" s="27"/>
      <c r="C918" s="27"/>
      <c r="D918" s="27"/>
      <c r="E918" s="27"/>
      <c r="F918" s="27"/>
      <c r="G918" s="28"/>
      <c r="H918" s="27"/>
      <c r="I918" s="29"/>
      <c r="J918" s="2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8"/>
      <c r="AR918" s="27"/>
      <c r="AS918" s="29"/>
      <c r="AT918" s="26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8"/>
      <c r="CB918" s="27"/>
      <c r="CC918" s="29"/>
      <c r="CD918" s="26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8"/>
      <c r="DL918" s="27"/>
      <c r="DM918" s="36"/>
      <c r="DN918" s="26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</row>
    <row r="919">
      <c r="A919" s="27"/>
      <c r="B919" s="27"/>
      <c r="C919" s="27"/>
      <c r="D919" s="27"/>
      <c r="E919" s="27"/>
      <c r="F919" s="27"/>
      <c r="G919" s="28"/>
      <c r="H919" s="27"/>
      <c r="I919" s="29"/>
      <c r="J919" s="2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8"/>
      <c r="AR919" s="27"/>
      <c r="AS919" s="29"/>
      <c r="AT919" s="26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8"/>
      <c r="CB919" s="27"/>
      <c r="CC919" s="29"/>
      <c r="CD919" s="26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8"/>
      <c r="DL919" s="27"/>
      <c r="DM919" s="36"/>
      <c r="DN919" s="26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</row>
    <row r="920">
      <c r="A920" s="27"/>
      <c r="B920" s="27"/>
      <c r="C920" s="27"/>
      <c r="D920" s="27"/>
      <c r="E920" s="27"/>
      <c r="F920" s="27"/>
      <c r="G920" s="28"/>
      <c r="H920" s="27"/>
      <c r="I920" s="29"/>
      <c r="J920" s="2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8"/>
      <c r="AR920" s="27"/>
      <c r="AS920" s="29"/>
      <c r="AT920" s="26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8"/>
      <c r="CB920" s="27"/>
      <c r="CC920" s="29"/>
      <c r="CD920" s="26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8"/>
      <c r="DL920" s="27"/>
      <c r="DM920" s="36"/>
      <c r="DN920" s="26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</row>
    <row r="921">
      <c r="A921" s="27"/>
      <c r="B921" s="27"/>
      <c r="C921" s="27"/>
      <c r="D921" s="27"/>
      <c r="E921" s="27"/>
      <c r="F921" s="27"/>
      <c r="G921" s="28"/>
      <c r="H921" s="27"/>
      <c r="I921" s="29"/>
      <c r="J921" s="2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8"/>
      <c r="AR921" s="27"/>
      <c r="AS921" s="29"/>
      <c r="AT921" s="26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8"/>
      <c r="CB921" s="27"/>
      <c r="CC921" s="29"/>
      <c r="CD921" s="26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8"/>
      <c r="DL921" s="27"/>
      <c r="DM921" s="36"/>
      <c r="DN921" s="26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</row>
    <row r="922">
      <c r="A922" s="27"/>
      <c r="B922" s="27"/>
      <c r="C922" s="27"/>
      <c r="D922" s="27"/>
      <c r="E922" s="27"/>
      <c r="F922" s="27"/>
      <c r="G922" s="28"/>
      <c r="H922" s="27"/>
      <c r="I922" s="29"/>
      <c r="J922" s="2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8"/>
      <c r="AR922" s="27"/>
      <c r="AS922" s="29"/>
      <c r="AT922" s="26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8"/>
      <c r="CB922" s="27"/>
      <c r="CC922" s="29"/>
      <c r="CD922" s="26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8"/>
      <c r="DL922" s="27"/>
      <c r="DM922" s="36"/>
      <c r="DN922" s="26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</row>
    <row r="923">
      <c r="A923" s="27"/>
      <c r="B923" s="27"/>
      <c r="C923" s="27"/>
      <c r="D923" s="27"/>
      <c r="E923" s="27"/>
      <c r="F923" s="27"/>
      <c r="G923" s="28"/>
      <c r="H923" s="27"/>
      <c r="I923" s="29"/>
      <c r="J923" s="2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8"/>
      <c r="AR923" s="27"/>
      <c r="AS923" s="29"/>
      <c r="AT923" s="26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8"/>
      <c r="CB923" s="27"/>
      <c r="CC923" s="29"/>
      <c r="CD923" s="26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8"/>
      <c r="DL923" s="27"/>
      <c r="DM923" s="36"/>
      <c r="DN923" s="26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</row>
    <row r="924">
      <c r="A924" s="27"/>
      <c r="B924" s="27"/>
      <c r="C924" s="27"/>
      <c r="D924" s="27"/>
      <c r="E924" s="27"/>
      <c r="F924" s="27"/>
      <c r="G924" s="28"/>
      <c r="H924" s="27"/>
      <c r="I924" s="29"/>
      <c r="J924" s="2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8"/>
      <c r="AR924" s="27"/>
      <c r="AS924" s="29"/>
      <c r="AT924" s="26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8"/>
      <c r="CB924" s="27"/>
      <c r="CC924" s="29"/>
      <c r="CD924" s="26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8"/>
      <c r="DL924" s="27"/>
      <c r="DM924" s="36"/>
      <c r="DN924" s="26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</row>
    <row r="925">
      <c r="A925" s="27"/>
      <c r="B925" s="27"/>
      <c r="C925" s="27"/>
      <c r="D925" s="27"/>
      <c r="E925" s="27"/>
      <c r="F925" s="27"/>
      <c r="G925" s="28"/>
      <c r="H925" s="27"/>
      <c r="I925" s="29"/>
      <c r="J925" s="2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8"/>
      <c r="AR925" s="27"/>
      <c r="AS925" s="29"/>
      <c r="AT925" s="26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8"/>
      <c r="CB925" s="27"/>
      <c r="CC925" s="29"/>
      <c r="CD925" s="26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8"/>
      <c r="DL925" s="27"/>
      <c r="DM925" s="36"/>
      <c r="DN925" s="26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</row>
    <row r="926">
      <c r="A926" s="27"/>
      <c r="B926" s="27"/>
      <c r="C926" s="27"/>
      <c r="D926" s="27"/>
      <c r="E926" s="27"/>
      <c r="F926" s="27"/>
      <c r="G926" s="28"/>
      <c r="H926" s="27"/>
      <c r="I926" s="29"/>
      <c r="J926" s="2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8"/>
      <c r="AR926" s="27"/>
      <c r="AS926" s="29"/>
      <c r="AT926" s="26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8"/>
      <c r="CB926" s="27"/>
      <c r="CC926" s="29"/>
      <c r="CD926" s="26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8"/>
      <c r="DL926" s="27"/>
      <c r="DM926" s="36"/>
      <c r="DN926" s="26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</row>
    <row r="927">
      <c r="A927" s="27"/>
      <c r="B927" s="27"/>
      <c r="C927" s="27"/>
      <c r="D927" s="27"/>
      <c r="E927" s="27"/>
      <c r="F927" s="27"/>
      <c r="G927" s="28"/>
      <c r="H927" s="27"/>
      <c r="I927" s="29"/>
      <c r="J927" s="2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8"/>
      <c r="AR927" s="27"/>
      <c r="AS927" s="29"/>
      <c r="AT927" s="26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8"/>
      <c r="CB927" s="27"/>
      <c r="CC927" s="29"/>
      <c r="CD927" s="26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8"/>
      <c r="DL927" s="27"/>
      <c r="DM927" s="36"/>
      <c r="DN927" s="26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</row>
    <row r="928">
      <c r="A928" s="27"/>
      <c r="B928" s="27"/>
      <c r="C928" s="27"/>
      <c r="D928" s="27"/>
      <c r="E928" s="27"/>
      <c r="F928" s="27"/>
      <c r="G928" s="28"/>
      <c r="H928" s="27"/>
      <c r="I928" s="29"/>
      <c r="J928" s="2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8"/>
      <c r="AR928" s="27"/>
      <c r="AS928" s="29"/>
      <c r="AT928" s="26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8"/>
      <c r="CB928" s="27"/>
      <c r="CC928" s="29"/>
      <c r="CD928" s="26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8"/>
      <c r="DL928" s="27"/>
      <c r="DM928" s="36"/>
      <c r="DN928" s="26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</row>
    <row r="929">
      <c r="A929" s="27"/>
      <c r="B929" s="27"/>
      <c r="C929" s="27"/>
      <c r="D929" s="27"/>
      <c r="E929" s="27"/>
      <c r="F929" s="27"/>
      <c r="G929" s="28"/>
      <c r="H929" s="27"/>
      <c r="I929" s="29"/>
      <c r="J929" s="2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8"/>
      <c r="AR929" s="27"/>
      <c r="AS929" s="29"/>
      <c r="AT929" s="26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8"/>
      <c r="CB929" s="27"/>
      <c r="CC929" s="29"/>
      <c r="CD929" s="26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8"/>
      <c r="DL929" s="27"/>
      <c r="DM929" s="36"/>
      <c r="DN929" s="26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</row>
    <row r="930">
      <c r="A930" s="27"/>
      <c r="B930" s="27"/>
      <c r="C930" s="27"/>
      <c r="D930" s="27"/>
      <c r="E930" s="27"/>
      <c r="F930" s="27"/>
      <c r="G930" s="28"/>
      <c r="H930" s="27"/>
      <c r="I930" s="29"/>
      <c r="J930" s="2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8"/>
      <c r="AR930" s="27"/>
      <c r="AS930" s="29"/>
      <c r="AT930" s="26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8"/>
      <c r="CB930" s="27"/>
      <c r="CC930" s="29"/>
      <c r="CD930" s="26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8"/>
      <c r="DL930" s="27"/>
      <c r="DM930" s="36"/>
      <c r="DN930" s="26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</row>
    <row r="931">
      <c r="A931" s="27"/>
      <c r="B931" s="27"/>
      <c r="C931" s="27"/>
      <c r="D931" s="27"/>
      <c r="E931" s="27"/>
      <c r="F931" s="27"/>
      <c r="G931" s="28"/>
      <c r="H931" s="27"/>
      <c r="I931" s="29"/>
      <c r="J931" s="2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8"/>
      <c r="AR931" s="27"/>
      <c r="AS931" s="29"/>
      <c r="AT931" s="26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8"/>
      <c r="CB931" s="27"/>
      <c r="CC931" s="29"/>
      <c r="CD931" s="26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8"/>
      <c r="DL931" s="27"/>
      <c r="DM931" s="36"/>
      <c r="DN931" s="26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</row>
    <row r="932">
      <c r="A932" s="27"/>
      <c r="B932" s="27"/>
      <c r="C932" s="27"/>
      <c r="D932" s="27"/>
      <c r="E932" s="27"/>
      <c r="F932" s="27"/>
      <c r="G932" s="28"/>
      <c r="H932" s="27"/>
      <c r="I932" s="29"/>
      <c r="J932" s="2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8"/>
      <c r="AR932" s="27"/>
      <c r="AS932" s="29"/>
      <c r="AT932" s="26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8"/>
      <c r="CB932" s="27"/>
      <c r="CC932" s="29"/>
      <c r="CD932" s="26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8"/>
      <c r="DL932" s="27"/>
      <c r="DM932" s="36"/>
      <c r="DN932" s="26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</row>
    <row r="933">
      <c r="A933" s="27"/>
      <c r="B933" s="27"/>
      <c r="C933" s="27"/>
      <c r="D933" s="27"/>
      <c r="E933" s="27"/>
      <c r="F933" s="27"/>
      <c r="G933" s="28"/>
      <c r="H933" s="27"/>
      <c r="I933" s="29"/>
      <c r="J933" s="2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8"/>
      <c r="AR933" s="27"/>
      <c r="AS933" s="29"/>
      <c r="AT933" s="26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8"/>
      <c r="CB933" s="27"/>
      <c r="CC933" s="29"/>
      <c r="CD933" s="26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8"/>
      <c r="DL933" s="27"/>
      <c r="DM933" s="36"/>
      <c r="DN933" s="26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</row>
    <row r="934">
      <c r="A934" s="27"/>
      <c r="B934" s="27"/>
      <c r="C934" s="27"/>
      <c r="D934" s="27"/>
      <c r="E934" s="27"/>
      <c r="F934" s="27"/>
      <c r="G934" s="28"/>
      <c r="H934" s="27"/>
      <c r="I934" s="29"/>
      <c r="J934" s="2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8"/>
      <c r="AR934" s="27"/>
      <c r="AS934" s="29"/>
      <c r="AT934" s="26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8"/>
      <c r="CB934" s="27"/>
      <c r="CC934" s="29"/>
      <c r="CD934" s="26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8"/>
      <c r="DL934" s="27"/>
      <c r="DM934" s="36"/>
      <c r="DN934" s="26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</row>
    <row r="935">
      <c r="A935" s="27"/>
      <c r="B935" s="27"/>
      <c r="C935" s="27"/>
      <c r="D935" s="27"/>
      <c r="E935" s="27"/>
      <c r="F935" s="27"/>
      <c r="G935" s="28"/>
      <c r="H935" s="27"/>
      <c r="I935" s="29"/>
      <c r="J935" s="2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8"/>
      <c r="AR935" s="27"/>
      <c r="AS935" s="29"/>
      <c r="AT935" s="26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8"/>
      <c r="CB935" s="27"/>
      <c r="CC935" s="29"/>
      <c r="CD935" s="26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8"/>
      <c r="DL935" s="27"/>
      <c r="DM935" s="36"/>
      <c r="DN935" s="26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</row>
    <row r="936">
      <c r="A936" s="27"/>
      <c r="B936" s="27"/>
      <c r="C936" s="27"/>
      <c r="D936" s="27"/>
      <c r="E936" s="27"/>
      <c r="F936" s="27"/>
      <c r="G936" s="28"/>
      <c r="H936" s="27"/>
      <c r="I936" s="29"/>
      <c r="J936" s="2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8"/>
      <c r="AR936" s="27"/>
      <c r="AS936" s="29"/>
      <c r="AT936" s="26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8"/>
      <c r="CB936" s="27"/>
      <c r="CC936" s="29"/>
      <c r="CD936" s="26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8"/>
      <c r="DL936" s="27"/>
      <c r="DM936" s="36"/>
      <c r="DN936" s="26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</row>
    <row r="937">
      <c r="A937" s="27"/>
      <c r="B937" s="27"/>
      <c r="C937" s="27"/>
      <c r="D937" s="27"/>
      <c r="E937" s="27"/>
      <c r="F937" s="27"/>
      <c r="G937" s="28"/>
      <c r="H937" s="27"/>
      <c r="I937" s="29"/>
      <c r="J937" s="2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8"/>
      <c r="AR937" s="27"/>
      <c r="AS937" s="29"/>
      <c r="AT937" s="26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8"/>
      <c r="CB937" s="27"/>
      <c r="CC937" s="29"/>
      <c r="CD937" s="26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8"/>
      <c r="DL937" s="27"/>
      <c r="DM937" s="36"/>
      <c r="DN937" s="26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</row>
    <row r="938">
      <c r="A938" s="27"/>
      <c r="B938" s="27"/>
      <c r="C938" s="27"/>
      <c r="D938" s="27"/>
      <c r="E938" s="27"/>
      <c r="F938" s="27"/>
      <c r="G938" s="28"/>
      <c r="H938" s="27"/>
      <c r="I938" s="29"/>
      <c r="J938" s="2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8"/>
      <c r="AR938" s="27"/>
      <c r="AS938" s="29"/>
      <c r="AT938" s="26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8"/>
      <c r="CB938" s="27"/>
      <c r="CC938" s="29"/>
      <c r="CD938" s="26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8"/>
      <c r="DL938" s="27"/>
      <c r="DM938" s="36"/>
      <c r="DN938" s="26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</row>
    <row r="939">
      <c r="A939" s="27"/>
      <c r="B939" s="27"/>
      <c r="C939" s="27"/>
      <c r="D939" s="27"/>
      <c r="E939" s="27"/>
      <c r="F939" s="27"/>
      <c r="G939" s="28"/>
      <c r="H939" s="27"/>
      <c r="I939" s="29"/>
      <c r="J939" s="2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8"/>
      <c r="AR939" s="27"/>
      <c r="AS939" s="29"/>
      <c r="AT939" s="26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8"/>
      <c r="CB939" s="27"/>
      <c r="CC939" s="29"/>
      <c r="CD939" s="26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8"/>
      <c r="DL939" s="27"/>
      <c r="DM939" s="36"/>
      <c r="DN939" s="26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</row>
    <row r="940">
      <c r="A940" s="27"/>
      <c r="B940" s="27"/>
      <c r="C940" s="27"/>
      <c r="D940" s="27"/>
      <c r="E940" s="27"/>
      <c r="F940" s="27"/>
      <c r="G940" s="28"/>
      <c r="H940" s="27"/>
      <c r="I940" s="29"/>
      <c r="J940" s="2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8"/>
      <c r="AR940" s="27"/>
      <c r="AS940" s="29"/>
      <c r="AT940" s="26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8"/>
      <c r="CB940" s="27"/>
      <c r="CC940" s="29"/>
      <c r="CD940" s="26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8"/>
      <c r="DL940" s="27"/>
      <c r="DM940" s="36"/>
      <c r="DN940" s="26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</row>
    <row r="941">
      <c r="A941" s="27"/>
      <c r="B941" s="27"/>
      <c r="C941" s="27"/>
      <c r="D941" s="27"/>
      <c r="E941" s="27"/>
      <c r="F941" s="27"/>
      <c r="G941" s="28"/>
      <c r="H941" s="27"/>
      <c r="I941" s="29"/>
      <c r="J941" s="2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8"/>
      <c r="AR941" s="27"/>
      <c r="AS941" s="29"/>
      <c r="AT941" s="26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8"/>
      <c r="CB941" s="27"/>
      <c r="CC941" s="29"/>
      <c r="CD941" s="26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8"/>
      <c r="DL941" s="27"/>
      <c r="DM941" s="36"/>
      <c r="DN941" s="26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</row>
    <row r="942">
      <c r="A942" s="27"/>
      <c r="B942" s="27"/>
      <c r="C942" s="27"/>
      <c r="D942" s="27"/>
      <c r="E942" s="27"/>
      <c r="F942" s="27"/>
      <c r="G942" s="28"/>
      <c r="H942" s="27"/>
      <c r="I942" s="29"/>
      <c r="J942" s="2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8"/>
      <c r="AR942" s="27"/>
      <c r="AS942" s="29"/>
      <c r="AT942" s="26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8"/>
      <c r="CB942" s="27"/>
      <c r="CC942" s="29"/>
      <c r="CD942" s="26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8"/>
      <c r="DL942" s="27"/>
      <c r="DM942" s="36"/>
      <c r="DN942" s="26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</row>
    <row r="943">
      <c r="A943" s="27"/>
      <c r="B943" s="27"/>
      <c r="C943" s="27"/>
      <c r="D943" s="27"/>
      <c r="E943" s="27"/>
      <c r="F943" s="27"/>
      <c r="G943" s="28"/>
      <c r="H943" s="27"/>
      <c r="I943" s="29"/>
      <c r="J943" s="2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8"/>
      <c r="AR943" s="27"/>
      <c r="AS943" s="29"/>
      <c r="AT943" s="26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8"/>
      <c r="CB943" s="27"/>
      <c r="CC943" s="29"/>
      <c r="CD943" s="26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8"/>
      <c r="DL943" s="27"/>
      <c r="DM943" s="36"/>
      <c r="DN943" s="26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</row>
    <row r="944">
      <c r="A944" s="27"/>
      <c r="B944" s="27"/>
      <c r="C944" s="27"/>
      <c r="D944" s="27"/>
      <c r="E944" s="27"/>
      <c r="F944" s="27"/>
      <c r="G944" s="28"/>
      <c r="H944" s="27"/>
      <c r="I944" s="29"/>
      <c r="J944" s="2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8"/>
      <c r="AR944" s="27"/>
      <c r="AS944" s="29"/>
      <c r="AT944" s="26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8"/>
      <c r="CB944" s="27"/>
      <c r="CC944" s="29"/>
      <c r="CD944" s="26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8"/>
      <c r="DL944" s="27"/>
      <c r="DM944" s="36"/>
      <c r="DN944" s="26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</row>
    <row r="945">
      <c r="A945" s="27"/>
      <c r="B945" s="27"/>
      <c r="C945" s="27"/>
      <c r="D945" s="27"/>
      <c r="E945" s="27"/>
      <c r="F945" s="27"/>
      <c r="G945" s="28"/>
      <c r="H945" s="27"/>
      <c r="I945" s="29"/>
      <c r="J945" s="2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8"/>
      <c r="AR945" s="27"/>
      <c r="AS945" s="29"/>
      <c r="AT945" s="26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8"/>
      <c r="CB945" s="27"/>
      <c r="CC945" s="29"/>
      <c r="CD945" s="26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8"/>
      <c r="DL945" s="27"/>
      <c r="DM945" s="36"/>
      <c r="DN945" s="26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</row>
    <row r="946">
      <c r="A946" s="27"/>
      <c r="B946" s="27"/>
      <c r="C946" s="27"/>
      <c r="D946" s="27"/>
      <c r="E946" s="27"/>
      <c r="F946" s="27"/>
      <c r="G946" s="28"/>
      <c r="H946" s="27"/>
      <c r="I946" s="29"/>
      <c r="J946" s="2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8"/>
      <c r="AR946" s="27"/>
      <c r="AS946" s="29"/>
      <c r="AT946" s="26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8"/>
      <c r="CB946" s="27"/>
      <c r="CC946" s="29"/>
      <c r="CD946" s="26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8"/>
      <c r="DL946" s="27"/>
      <c r="DM946" s="36"/>
      <c r="DN946" s="26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</row>
    <row r="947">
      <c r="A947" s="27"/>
      <c r="B947" s="27"/>
      <c r="C947" s="27"/>
      <c r="D947" s="27"/>
      <c r="E947" s="27"/>
      <c r="F947" s="27"/>
      <c r="G947" s="28"/>
      <c r="H947" s="27"/>
      <c r="I947" s="29"/>
      <c r="J947" s="2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8"/>
      <c r="AR947" s="27"/>
      <c r="AS947" s="29"/>
      <c r="AT947" s="26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8"/>
      <c r="CB947" s="27"/>
      <c r="CC947" s="29"/>
      <c r="CD947" s="26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8"/>
      <c r="DL947" s="27"/>
      <c r="DM947" s="36"/>
      <c r="DN947" s="26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</row>
    <row r="948">
      <c r="A948" s="27"/>
      <c r="B948" s="27"/>
      <c r="C948" s="27"/>
      <c r="D948" s="27"/>
      <c r="E948" s="27"/>
      <c r="F948" s="27"/>
      <c r="G948" s="28"/>
      <c r="H948" s="27"/>
      <c r="I948" s="29"/>
      <c r="J948" s="2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8"/>
      <c r="AR948" s="27"/>
      <c r="AS948" s="29"/>
      <c r="AT948" s="26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8"/>
      <c r="CB948" s="27"/>
      <c r="CC948" s="29"/>
      <c r="CD948" s="26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8"/>
      <c r="DL948" s="27"/>
      <c r="DM948" s="36"/>
      <c r="DN948" s="26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</row>
    <row r="949">
      <c r="A949" s="27"/>
      <c r="B949" s="27"/>
      <c r="C949" s="27"/>
      <c r="D949" s="27"/>
      <c r="E949" s="27"/>
      <c r="F949" s="27"/>
      <c r="G949" s="28"/>
      <c r="H949" s="27"/>
      <c r="I949" s="29"/>
      <c r="J949" s="2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8"/>
      <c r="AR949" s="27"/>
      <c r="AS949" s="29"/>
      <c r="AT949" s="26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8"/>
      <c r="CB949" s="27"/>
      <c r="CC949" s="29"/>
      <c r="CD949" s="26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8"/>
      <c r="DL949" s="27"/>
      <c r="DM949" s="36"/>
      <c r="DN949" s="26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</row>
    <row r="950">
      <c r="A950" s="27"/>
      <c r="B950" s="27"/>
      <c r="C950" s="27"/>
      <c r="D950" s="27"/>
      <c r="E950" s="27"/>
      <c r="F950" s="27"/>
      <c r="G950" s="28"/>
      <c r="H950" s="27"/>
      <c r="I950" s="29"/>
      <c r="J950" s="2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8"/>
      <c r="AR950" s="27"/>
      <c r="AS950" s="29"/>
      <c r="AT950" s="26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8"/>
      <c r="CB950" s="27"/>
      <c r="CC950" s="29"/>
      <c r="CD950" s="26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8"/>
      <c r="DL950" s="27"/>
      <c r="DM950" s="36"/>
      <c r="DN950" s="26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</row>
    <row r="951">
      <c r="A951" s="27"/>
      <c r="B951" s="27"/>
      <c r="C951" s="27"/>
      <c r="D951" s="27"/>
      <c r="E951" s="27"/>
      <c r="F951" s="27"/>
      <c r="G951" s="28"/>
      <c r="H951" s="27"/>
      <c r="I951" s="29"/>
      <c r="J951" s="2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8"/>
      <c r="AR951" s="27"/>
      <c r="AS951" s="29"/>
      <c r="AT951" s="26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8"/>
      <c r="CB951" s="27"/>
      <c r="CC951" s="29"/>
      <c r="CD951" s="26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8"/>
      <c r="DL951" s="27"/>
      <c r="DM951" s="36"/>
      <c r="DN951" s="26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</row>
    <row r="952">
      <c r="A952" s="27"/>
      <c r="B952" s="27"/>
      <c r="C952" s="27"/>
      <c r="D952" s="27"/>
      <c r="E952" s="27"/>
      <c r="F952" s="27"/>
      <c r="G952" s="28"/>
      <c r="H952" s="27"/>
      <c r="I952" s="29"/>
      <c r="J952" s="2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8"/>
      <c r="AR952" s="27"/>
      <c r="AS952" s="29"/>
      <c r="AT952" s="26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8"/>
      <c r="CB952" s="27"/>
      <c r="CC952" s="29"/>
      <c r="CD952" s="26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8"/>
      <c r="DL952" s="27"/>
      <c r="DM952" s="36"/>
      <c r="DN952" s="26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</row>
    <row r="953">
      <c r="A953" s="27"/>
      <c r="B953" s="27"/>
      <c r="C953" s="27"/>
      <c r="D953" s="27"/>
      <c r="E953" s="27"/>
      <c r="F953" s="27"/>
      <c r="G953" s="28"/>
      <c r="H953" s="27"/>
      <c r="I953" s="29"/>
      <c r="J953" s="2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8"/>
      <c r="AR953" s="27"/>
      <c r="AS953" s="29"/>
      <c r="AT953" s="26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8"/>
      <c r="CB953" s="27"/>
      <c r="CC953" s="29"/>
      <c r="CD953" s="26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8"/>
      <c r="DL953" s="27"/>
      <c r="DM953" s="36"/>
      <c r="DN953" s="26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</row>
    <row r="954">
      <c r="A954" s="27"/>
      <c r="B954" s="27"/>
      <c r="C954" s="27"/>
      <c r="D954" s="27"/>
      <c r="E954" s="27"/>
      <c r="F954" s="27"/>
      <c r="G954" s="28"/>
      <c r="H954" s="27"/>
      <c r="I954" s="29"/>
      <c r="J954" s="2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8"/>
      <c r="AR954" s="27"/>
      <c r="AS954" s="29"/>
      <c r="AT954" s="26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8"/>
      <c r="CB954" s="27"/>
      <c r="CC954" s="29"/>
      <c r="CD954" s="26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8"/>
      <c r="DL954" s="27"/>
      <c r="DM954" s="36"/>
      <c r="DN954" s="26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</row>
    <row r="955">
      <c r="A955" s="27"/>
      <c r="B955" s="27"/>
      <c r="C955" s="27"/>
      <c r="D955" s="27"/>
      <c r="E955" s="27"/>
      <c r="F955" s="27"/>
      <c r="G955" s="28"/>
      <c r="H955" s="27"/>
      <c r="I955" s="29"/>
      <c r="J955" s="2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8"/>
      <c r="AR955" s="27"/>
      <c r="AS955" s="29"/>
      <c r="AT955" s="26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8"/>
      <c r="CB955" s="27"/>
      <c r="CC955" s="29"/>
      <c r="CD955" s="26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8"/>
      <c r="DL955" s="27"/>
      <c r="DM955" s="36"/>
      <c r="DN955" s="26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</row>
    <row r="956">
      <c r="A956" s="27"/>
      <c r="B956" s="27"/>
      <c r="C956" s="27"/>
      <c r="D956" s="27"/>
      <c r="E956" s="27"/>
      <c r="F956" s="27"/>
      <c r="G956" s="28"/>
      <c r="H956" s="27"/>
      <c r="I956" s="29"/>
      <c r="J956" s="2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8"/>
      <c r="AR956" s="27"/>
      <c r="AS956" s="29"/>
      <c r="AT956" s="26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8"/>
      <c r="CB956" s="27"/>
      <c r="CC956" s="29"/>
      <c r="CD956" s="26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8"/>
      <c r="DL956" s="27"/>
      <c r="DM956" s="36"/>
      <c r="DN956" s="26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</row>
    <row r="957">
      <c r="A957" s="27"/>
      <c r="B957" s="27"/>
      <c r="C957" s="27"/>
      <c r="D957" s="27"/>
      <c r="E957" s="27"/>
      <c r="F957" s="27"/>
      <c r="G957" s="28"/>
      <c r="H957" s="27"/>
      <c r="I957" s="29"/>
      <c r="J957" s="2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8"/>
      <c r="AR957" s="27"/>
      <c r="AS957" s="29"/>
      <c r="AT957" s="26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8"/>
      <c r="CB957" s="27"/>
      <c r="CC957" s="29"/>
      <c r="CD957" s="26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8"/>
      <c r="DL957" s="27"/>
      <c r="DM957" s="36"/>
      <c r="DN957" s="26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</row>
    <row r="958">
      <c r="A958" s="27"/>
      <c r="B958" s="27"/>
      <c r="C958" s="27"/>
      <c r="D958" s="27"/>
      <c r="E958" s="27"/>
      <c r="F958" s="27"/>
      <c r="G958" s="28"/>
      <c r="H958" s="27"/>
      <c r="I958" s="29"/>
      <c r="J958" s="2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8"/>
      <c r="AR958" s="27"/>
      <c r="AS958" s="29"/>
      <c r="AT958" s="26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8"/>
      <c r="CB958" s="27"/>
      <c r="CC958" s="29"/>
      <c r="CD958" s="26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8"/>
      <c r="DL958" s="27"/>
      <c r="DM958" s="36"/>
      <c r="DN958" s="26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</row>
    <row r="959">
      <c r="A959" s="27"/>
      <c r="B959" s="27"/>
      <c r="C959" s="27"/>
      <c r="D959" s="27"/>
      <c r="E959" s="27"/>
      <c r="F959" s="27"/>
      <c r="G959" s="28"/>
      <c r="H959" s="27"/>
      <c r="I959" s="29"/>
      <c r="J959" s="2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8"/>
      <c r="AR959" s="27"/>
      <c r="AS959" s="29"/>
      <c r="AT959" s="26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8"/>
      <c r="CB959" s="27"/>
      <c r="CC959" s="29"/>
      <c r="CD959" s="26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8"/>
      <c r="DL959" s="27"/>
      <c r="DM959" s="36"/>
      <c r="DN959" s="26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</row>
    <row r="960">
      <c r="A960" s="27"/>
      <c r="B960" s="27"/>
      <c r="C960" s="27"/>
      <c r="D960" s="27"/>
      <c r="E960" s="27"/>
      <c r="F960" s="27"/>
      <c r="G960" s="28"/>
      <c r="H960" s="27"/>
      <c r="I960" s="29"/>
      <c r="J960" s="2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8"/>
      <c r="AR960" s="27"/>
      <c r="AS960" s="29"/>
      <c r="AT960" s="26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8"/>
      <c r="CB960" s="27"/>
      <c r="CC960" s="29"/>
      <c r="CD960" s="26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8"/>
      <c r="DL960" s="27"/>
      <c r="DM960" s="36"/>
      <c r="DN960" s="26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</row>
    <row r="961">
      <c r="A961" s="27"/>
      <c r="B961" s="27"/>
      <c r="C961" s="27"/>
      <c r="D961" s="27"/>
      <c r="E961" s="27"/>
      <c r="F961" s="27"/>
      <c r="G961" s="28"/>
      <c r="H961" s="27"/>
      <c r="I961" s="29"/>
      <c r="J961" s="2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8"/>
      <c r="AR961" s="27"/>
      <c r="AS961" s="29"/>
      <c r="AT961" s="26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8"/>
      <c r="CB961" s="27"/>
      <c r="CC961" s="29"/>
      <c r="CD961" s="26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8"/>
      <c r="DL961" s="27"/>
      <c r="DM961" s="36"/>
      <c r="DN961" s="26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</row>
    <row r="962">
      <c r="A962" s="27"/>
      <c r="B962" s="27"/>
      <c r="C962" s="27"/>
      <c r="D962" s="27"/>
      <c r="E962" s="27"/>
      <c r="F962" s="27"/>
      <c r="G962" s="28"/>
      <c r="H962" s="27"/>
      <c r="I962" s="29"/>
      <c r="J962" s="2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8"/>
      <c r="AR962" s="27"/>
      <c r="AS962" s="29"/>
      <c r="AT962" s="26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8"/>
      <c r="CB962" s="27"/>
      <c r="CC962" s="29"/>
      <c r="CD962" s="26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8"/>
      <c r="DL962" s="27"/>
      <c r="DM962" s="36"/>
      <c r="DN962" s="26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</row>
    <row r="963">
      <c r="A963" s="27"/>
      <c r="B963" s="27"/>
      <c r="C963" s="27"/>
      <c r="D963" s="27"/>
      <c r="E963" s="27"/>
      <c r="F963" s="27"/>
      <c r="G963" s="28"/>
      <c r="H963" s="27"/>
      <c r="I963" s="29"/>
      <c r="J963" s="2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8"/>
      <c r="AR963" s="27"/>
      <c r="AS963" s="29"/>
      <c r="AT963" s="26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8"/>
      <c r="CB963" s="27"/>
      <c r="CC963" s="29"/>
      <c r="CD963" s="26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8"/>
      <c r="DL963" s="27"/>
      <c r="DM963" s="36"/>
      <c r="DN963" s="26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</row>
    <row r="964">
      <c r="A964" s="27"/>
      <c r="B964" s="27"/>
      <c r="C964" s="27"/>
      <c r="D964" s="27"/>
      <c r="E964" s="27"/>
      <c r="F964" s="27"/>
      <c r="G964" s="28"/>
      <c r="H964" s="27"/>
      <c r="I964" s="29"/>
      <c r="J964" s="2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8"/>
      <c r="AR964" s="27"/>
      <c r="AS964" s="29"/>
      <c r="AT964" s="26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8"/>
      <c r="CB964" s="27"/>
      <c r="CC964" s="29"/>
      <c r="CD964" s="26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8"/>
      <c r="DL964" s="27"/>
      <c r="DM964" s="36"/>
      <c r="DN964" s="26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</row>
    <row r="965">
      <c r="A965" s="135"/>
      <c r="B965" s="135"/>
      <c r="C965" s="135"/>
      <c r="D965" s="136"/>
      <c r="E965" s="136"/>
      <c r="F965" s="135"/>
      <c r="G965" s="137"/>
      <c r="H965" s="135"/>
      <c r="I965" s="138"/>
      <c r="J965" s="42"/>
      <c r="K965" s="135"/>
      <c r="L965" s="136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  <c r="AB965" s="135"/>
      <c r="AC965" s="135"/>
      <c r="AD965" s="135"/>
      <c r="AE965" s="135"/>
      <c r="AF965" s="135"/>
      <c r="AG965" s="135"/>
      <c r="AH965" s="135"/>
      <c r="AI965" s="135"/>
      <c r="AJ965" s="135"/>
      <c r="AK965" s="135"/>
      <c r="AL965" s="135"/>
      <c r="AM965" s="135"/>
      <c r="AN965" s="135"/>
      <c r="AO965" s="135"/>
      <c r="AP965" s="135"/>
      <c r="AQ965" s="139"/>
      <c r="AR965" s="140"/>
      <c r="AS965" s="141"/>
      <c r="AT965" s="142"/>
      <c r="AU965" s="135"/>
      <c r="AV965" s="135"/>
      <c r="AW965" s="135"/>
      <c r="AX965" s="135"/>
      <c r="AY965" s="135"/>
      <c r="AZ965" s="135"/>
      <c r="BA965" s="135"/>
      <c r="BB965" s="135"/>
      <c r="BC965" s="135"/>
      <c r="BD965" s="135"/>
      <c r="BE965" s="135"/>
      <c r="BF965" s="135"/>
      <c r="BG965" s="135"/>
      <c r="BH965" s="135"/>
      <c r="BI965" s="135"/>
      <c r="BJ965" s="135"/>
      <c r="BK965" s="135"/>
      <c r="BL965" s="135"/>
      <c r="BM965" s="135"/>
      <c r="BN965" s="135"/>
      <c r="BO965" s="135"/>
      <c r="BP965" s="135"/>
      <c r="BQ965" s="135"/>
      <c r="BR965" s="135"/>
      <c r="BS965" s="135"/>
      <c r="BT965" s="135"/>
      <c r="BU965" s="135"/>
      <c r="BV965" s="135"/>
      <c r="BW965" s="135"/>
      <c r="BX965" s="135"/>
      <c r="BY965" s="135"/>
      <c r="BZ965" s="143"/>
      <c r="CA965" s="139"/>
      <c r="CB965" s="140"/>
      <c r="CC965" s="141"/>
      <c r="CD965" s="144"/>
      <c r="CE965" s="135"/>
      <c r="CF965" s="135"/>
      <c r="CG965" s="135"/>
      <c r="CH965" s="135"/>
      <c r="CI965" s="135"/>
      <c r="CJ965" s="135"/>
      <c r="CK965" s="135"/>
      <c r="CL965" s="135"/>
      <c r="CM965" s="135"/>
      <c r="CN965" s="135"/>
      <c r="CO965" s="135"/>
      <c r="CP965" s="135"/>
      <c r="CQ965" s="135"/>
      <c r="CR965" s="135"/>
      <c r="CS965" s="135"/>
      <c r="CT965" s="135"/>
      <c r="CU965" s="135"/>
      <c r="CV965" s="135"/>
      <c r="CW965" s="135"/>
      <c r="CX965" s="135"/>
      <c r="CY965" s="135"/>
      <c r="CZ965" s="135"/>
      <c r="DA965" s="135"/>
      <c r="DB965" s="135"/>
      <c r="DC965" s="135"/>
      <c r="DD965" s="135"/>
      <c r="DE965" s="135"/>
      <c r="DF965" s="135"/>
      <c r="DG965" s="135"/>
      <c r="DH965" s="135"/>
      <c r="DI965" s="135"/>
      <c r="DJ965" s="143"/>
      <c r="DK965" s="139"/>
      <c r="DL965" s="140"/>
      <c r="DM965" s="145"/>
      <c r="DN965" s="144"/>
      <c r="DO965" s="135"/>
      <c r="DP965" s="135"/>
      <c r="DQ965" s="135"/>
      <c r="DR965" s="135"/>
      <c r="DS965" s="135"/>
      <c r="DT965" s="135"/>
      <c r="DU965" s="135"/>
      <c r="DV965" s="135"/>
      <c r="DW965" s="135"/>
      <c r="DX965" s="135"/>
      <c r="DY965" s="135"/>
      <c r="DZ965" s="135"/>
      <c r="EA965" s="135"/>
      <c r="EB965" s="135"/>
      <c r="EC965" s="135"/>
      <c r="ED965" s="135"/>
      <c r="EE965" s="135"/>
      <c r="EF965" s="135"/>
      <c r="EG965" s="135"/>
      <c r="EH965" s="135"/>
      <c r="EI965" s="135"/>
      <c r="EJ965" s="135"/>
      <c r="EK965" s="135"/>
      <c r="EL965" s="135"/>
      <c r="EM965" s="135"/>
      <c r="EN965" s="135"/>
      <c r="EO965" s="135"/>
      <c r="EP965" s="135"/>
      <c r="EQ965" s="135"/>
      <c r="ER965" s="135"/>
      <c r="ES965" s="135"/>
      <c r="ET965" s="135"/>
      <c r="EU965" s="135"/>
      <c r="EV965" s="135"/>
      <c r="EW965" s="135"/>
      <c r="EX965" s="135"/>
      <c r="EY965" s="135"/>
      <c r="EZ965" s="135"/>
      <c r="FA965" s="135"/>
      <c r="FB965" s="135"/>
      <c r="FC965" s="135"/>
      <c r="FD965" s="135"/>
      <c r="FE965" s="135"/>
      <c r="FF965" s="135"/>
      <c r="FG965" s="135"/>
      <c r="FH965" s="135"/>
      <c r="FI965" s="135"/>
      <c r="FJ965" s="135"/>
      <c r="FK965" s="135"/>
      <c r="FL965" s="135"/>
      <c r="FM965" s="135"/>
      <c r="FN965" s="135"/>
      <c r="FO965" s="135"/>
    </row>
    <row r="966">
      <c r="A966" s="135"/>
      <c r="B966" s="135"/>
      <c r="C966" s="135"/>
      <c r="D966" s="136"/>
      <c r="E966" s="136"/>
      <c r="F966" s="135"/>
      <c r="G966" s="137"/>
      <c r="H966" s="135"/>
      <c r="I966" s="138"/>
      <c r="J966" s="42"/>
      <c r="K966" s="135"/>
      <c r="L966" s="136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  <c r="AB966" s="135"/>
      <c r="AC966" s="135"/>
      <c r="AD966" s="135"/>
      <c r="AE966" s="135"/>
      <c r="AF966" s="135"/>
      <c r="AG966" s="135"/>
      <c r="AH966" s="135"/>
      <c r="AI966" s="135"/>
      <c r="AJ966" s="135"/>
      <c r="AK966" s="135"/>
      <c r="AL966" s="135"/>
      <c r="AM966" s="135"/>
      <c r="AN966" s="135"/>
      <c r="AO966" s="135"/>
      <c r="AP966" s="135"/>
      <c r="AQ966" s="139"/>
      <c r="AR966" s="140"/>
      <c r="AS966" s="141"/>
      <c r="AT966" s="142"/>
      <c r="AU966" s="135"/>
      <c r="AV966" s="135"/>
      <c r="AW966" s="135"/>
      <c r="AX966" s="135"/>
      <c r="AY966" s="135"/>
      <c r="AZ966" s="135"/>
      <c r="BA966" s="135"/>
      <c r="BB966" s="135"/>
      <c r="BC966" s="135"/>
      <c r="BD966" s="135"/>
      <c r="BE966" s="135"/>
      <c r="BF966" s="135"/>
      <c r="BG966" s="135"/>
      <c r="BH966" s="135"/>
      <c r="BI966" s="135"/>
      <c r="BJ966" s="135"/>
      <c r="BK966" s="135"/>
      <c r="BL966" s="135"/>
      <c r="BM966" s="135"/>
      <c r="BN966" s="135"/>
      <c r="BO966" s="135"/>
      <c r="BP966" s="135"/>
      <c r="BQ966" s="135"/>
      <c r="BR966" s="135"/>
      <c r="BS966" s="135"/>
      <c r="BT966" s="135"/>
      <c r="BU966" s="135"/>
      <c r="BV966" s="135"/>
      <c r="BW966" s="135"/>
      <c r="BX966" s="135"/>
      <c r="BY966" s="135"/>
      <c r="BZ966" s="143"/>
      <c r="CA966" s="139"/>
      <c r="CB966" s="140"/>
      <c r="CC966" s="141"/>
      <c r="CD966" s="144"/>
      <c r="CE966" s="135"/>
      <c r="CF966" s="135"/>
      <c r="CG966" s="135"/>
      <c r="CH966" s="135"/>
      <c r="CI966" s="135"/>
      <c r="CJ966" s="135"/>
      <c r="CK966" s="135"/>
      <c r="CL966" s="135"/>
      <c r="CM966" s="135"/>
      <c r="CN966" s="135"/>
      <c r="CO966" s="135"/>
      <c r="CP966" s="135"/>
      <c r="CQ966" s="135"/>
      <c r="CR966" s="135"/>
      <c r="CS966" s="135"/>
      <c r="CT966" s="135"/>
      <c r="CU966" s="135"/>
      <c r="CV966" s="135"/>
      <c r="CW966" s="135"/>
      <c r="CX966" s="135"/>
      <c r="CY966" s="135"/>
      <c r="CZ966" s="135"/>
      <c r="DA966" s="135"/>
      <c r="DB966" s="135"/>
      <c r="DC966" s="135"/>
      <c r="DD966" s="135"/>
      <c r="DE966" s="135"/>
      <c r="DF966" s="135"/>
      <c r="DG966" s="135"/>
      <c r="DH966" s="135"/>
      <c r="DI966" s="135"/>
      <c r="DJ966" s="143"/>
      <c r="DK966" s="139"/>
      <c r="DL966" s="140"/>
      <c r="DM966" s="145"/>
      <c r="DN966" s="144"/>
      <c r="DO966" s="135"/>
      <c r="DP966" s="135"/>
      <c r="DQ966" s="135"/>
      <c r="DR966" s="135"/>
      <c r="DS966" s="135"/>
      <c r="DT966" s="135"/>
      <c r="DU966" s="135"/>
      <c r="DV966" s="135"/>
      <c r="DW966" s="135"/>
      <c r="DX966" s="135"/>
      <c r="DY966" s="135"/>
      <c r="DZ966" s="135"/>
      <c r="EA966" s="135"/>
      <c r="EB966" s="135"/>
      <c r="EC966" s="135"/>
      <c r="ED966" s="135"/>
      <c r="EE966" s="135"/>
      <c r="EF966" s="135"/>
      <c r="EG966" s="135"/>
      <c r="EH966" s="135"/>
      <c r="EI966" s="135"/>
      <c r="EJ966" s="135"/>
      <c r="EK966" s="135"/>
      <c r="EL966" s="135"/>
      <c r="EM966" s="135"/>
      <c r="EN966" s="135"/>
      <c r="EO966" s="135"/>
      <c r="EP966" s="135"/>
      <c r="EQ966" s="135"/>
      <c r="ER966" s="135"/>
      <c r="ES966" s="135"/>
      <c r="ET966" s="135"/>
      <c r="EU966" s="135"/>
      <c r="EV966" s="135"/>
      <c r="EW966" s="135"/>
      <c r="EX966" s="135"/>
      <c r="EY966" s="135"/>
      <c r="EZ966" s="135"/>
      <c r="FA966" s="135"/>
      <c r="FB966" s="135"/>
      <c r="FC966" s="135"/>
      <c r="FD966" s="135"/>
      <c r="FE966" s="135"/>
      <c r="FF966" s="135"/>
      <c r="FG966" s="135"/>
      <c r="FH966" s="135"/>
      <c r="FI966" s="135"/>
      <c r="FJ966" s="135"/>
      <c r="FK966" s="135"/>
      <c r="FL966" s="135"/>
      <c r="FM966" s="135"/>
      <c r="FN966" s="135"/>
      <c r="FO966" s="135"/>
    </row>
    <row r="967">
      <c r="A967" s="135"/>
      <c r="B967" s="135"/>
      <c r="C967" s="135"/>
      <c r="D967" s="136"/>
      <c r="E967" s="136"/>
      <c r="F967" s="135"/>
      <c r="G967" s="137"/>
      <c r="H967" s="135"/>
      <c r="I967" s="138"/>
      <c r="J967" s="42"/>
      <c r="K967" s="135"/>
      <c r="L967" s="136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  <c r="AB967" s="135"/>
      <c r="AC967" s="135"/>
      <c r="AD967" s="135"/>
      <c r="AE967" s="135"/>
      <c r="AF967" s="135"/>
      <c r="AG967" s="135"/>
      <c r="AH967" s="135"/>
      <c r="AI967" s="135"/>
      <c r="AJ967" s="135"/>
      <c r="AK967" s="135"/>
      <c r="AL967" s="135"/>
      <c r="AM967" s="135"/>
      <c r="AN967" s="135"/>
      <c r="AO967" s="135"/>
      <c r="AP967" s="135"/>
      <c r="AQ967" s="139"/>
      <c r="AR967" s="140"/>
      <c r="AS967" s="141"/>
      <c r="AT967" s="142"/>
      <c r="AU967" s="135"/>
      <c r="AV967" s="135"/>
      <c r="AW967" s="135"/>
      <c r="AX967" s="135"/>
      <c r="AY967" s="135"/>
      <c r="AZ967" s="135"/>
      <c r="BA967" s="135"/>
      <c r="BB967" s="135"/>
      <c r="BC967" s="135"/>
      <c r="BD967" s="135"/>
      <c r="BE967" s="135"/>
      <c r="BF967" s="135"/>
      <c r="BG967" s="135"/>
      <c r="BH967" s="135"/>
      <c r="BI967" s="135"/>
      <c r="BJ967" s="135"/>
      <c r="BK967" s="135"/>
      <c r="BL967" s="135"/>
      <c r="BM967" s="135"/>
      <c r="BN967" s="135"/>
      <c r="BO967" s="135"/>
      <c r="BP967" s="135"/>
      <c r="BQ967" s="135"/>
      <c r="BR967" s="135"/>
      <c r="BS967" s="135"/>
      <c r="BT967" s="135"/>
      <c r="BU967" s="135"/>
      <c r="BV967" s="135"/>
      <c r="BW967" s="135"/>
      <c r="BX967" s="135"/>
      <c r="BY967" s="135"/>
      <c r="BZ967" s="143"/>
      <c r="CA967" s="139"/>
      <c r="CB967" s="140"/>
      <c r="CC967" s="141"/>
      <c r="CD967" s="144"/>
      <c r="CE967" s="135"/>
      <c r="CF967" s="135"/>
      <c r="CG967" s="135"/>
      <c r="CH967" s="135"/>
      <c r="CI967" s="135"/>
      <c r="CJ967" s="135"/>
      <c r="CK967" s="135"/>
      <c r="CL967" s="135"/>
      <c r="CM967" s="135"/>
      <c r="CN967" s="135"/>
      <c r="CO967" s="135"/>
      <c r="CP967" s="135"/>
      <c r="CQ967" s="135"/>
      <c r="CR967" s="135"/>
      <c r="CS967" s="135"/>
      <c r="CT967" s="135"/>
      <c r="CU967" s="135"/>
      <c r="CV967" s="135"/>
      <c r="CW967" s="135"/>
      <c r="CX967" s="135"/>
      <c r="CY967" s="135"/>
      <c r="CZ967" s="135"/>
      <c r="DA967" s="135"/>
      <c r="DB967" s="135"/>
      <c r="DC967" s="135"/>
      <c r="DD967" s="135"/>
      <c r="DE967" s="135"/>
      <c r="DF967" s="135"/>
      <c r="DG967" s="135"/>
      <c r="DH967" s="135"/>
      <c r="DI967" s="135"/>
      <c r="DJ967" s="143"/>
      <c r="DK967" s="139"/>
      <c r="DL967" s="140"/>
      <c r="DM967" s="145"/>
      <c r="DN967" s="144"/>
      <c r="DO967" s="135"/>
      <c r="DP967" s="135"/>
      <c r="DQ967" s="135"/>
      <c r="DR967" s="135"/>
      <c r="DS967" s="135"/>
      <c r="DT967" s="135"/>
      <c r="DU967" s="135"/>
      <c r="DV967" s="135"/>
      <c r="DW967" s="135"/>
      <c r="DX967" s="135"/>
      <c r="DY967" s="135"/>
      <c r="DZ967" s="135"/>
      <c r="EA967" s="135"/>
      <c r="EB967" s="135"/>
      <c r="EC967" s="135"/>
      <c r="ED967" s="135"/>
      <c r="EE967" s="135"/>
      <c r="EF967" s="135"/>
      <c r="EG967" s="135"/>
      <c r="EH967" s="135"/>
      <c r="EI967" s="135"/>
      <c r="EJ967" s="135"/>
      <c r="EK967" s="135"/>
      <c r="EL967" s="135"/>
      <c r="EM967" s="135"/>
      <c r="EN967" s="135"/>
      <c r="EO967" s="135"/>
      <c r="EP967" s="135"/>
      <c r="EQ967" s="135"/>
      <c r="ER967" s="135"/>
      <c r="ES967" s="135"/>
      <c r="ET967" s="135"/>
      <c r="EU967" s="135"/>
      <c r="EV967" s="135"/>
      <c r="EW967" s="135"/>
      <c r="EX967" s="135"/>
      <c r="EY967" s="135"/>
      <c r="EZ967" s="135"/>
      <c r="FA967" s="135"/>
      <c r="FB967" s="135"/>
      <c r="FC967" s="135"/>
      <c r="FD967" s="135"/>
      <c r="FE967" s="135"/>
      <c r="FF967" s="135"/>
      <c r="FG967" s="135"/>
      <c r="FH967" s="135"/>
      <c r="FI967" s="135"/>
      <c r="FJ967" s="135"/>
      <c r="FK967" s="135"/>
      <c r="FL967" s="135"/>
      <c r="FM967" s="135"/>
      <c r="FN967" s="135"/>
      <c r="FO967" s="135"/>
    </row>
    <row r="968">
      <c r="A968" s="135"/>
      <c r="B968" s="135"/>
      <c r="C968" s="135"/>
      <c r="D968" s="136"/>
      <c r="E968" s="136"/>
      <c r="F968" s="135"/>
      <c r="G968" s="137"/>
      <c r="H968" s="135"/>
      <c r="I968" s="138"/>
      <c r="J968" s="42"/>
      <c r="K968" s="135"/>
      <c r="L968" s="136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  <c r="AB968" s="135"/>
      <c r="AC968" s="135"/>
      <c r="AD968" s="135"/>
      <c r="AE968" s="135"/>
      <c r="AF968" s="135"/>
      <c r="AG968" s="135"/>
      <c r="AH968" s="135"/>
      <c r="AI968" s="135"/>
      <c r="AJ968" s="135"/>
      <c r="AK968" s="135"/>
      <c r="AL968" s="135"/>
      <c r="AM968" s="135"/>
      <c r="AN968" s="135"/>
      <c r="AO968" s="135"/>
      <c r="AP968" s="135"/>
      <c r="AQ968" s="139"/>
      <c r="AR968" s="140"/>
      <c r="AS968" s="141"/>
      <c r="AT968" s="142"/>
      <c r="AU968" s="135"/>
      <c r="AV968" s="135"/>
      <c r="AW968" s="135"/>
      <c r="AX968" s="135"/>
      <c r="AY968" s="135"/>
      <c r="AZ968" s="135"/>
      <c r="BA968" s="135"/>
      <c r="BB968" s="135"/>
      <c r="BC968" s="135"/>
      <c r="BD968" s="135"/>
      <c r="BE968" s="135"/>
      <c r="BF968" s="135"/>
      <c r="BG968" s="135"/>
      <c r="BH968" s="135"/>
      <c r="BI968" s="135"/>
      <c r="BJ968" s="135"/>
      <c r="BK968" s="135"/>
      <c r="BL968" s="135"/>
      <c r="BM968" s="135"/>
      <c r="BN968" s="135"/>
      <c r="BO968" s="135"/>
      <c r="BP968" s="135"/>
      <c r="BQ968" s="135"/>
      <c r="BR968" s="135"/>
      <c r="BS968" s="135"/>
      <c r="BT968" s="135"/>
      <c r="BU968" s="135"/>
      <c r="BV968" s="135"/>
      <c r="BW968" s="135"/>
      <c r="BX968" s="135"/>
      <c r="BY968" s="135"/>
      <c r="BZ968" s="143"/>
      <c r="CA968" s="139"/>
      <c r="CB968" s="140"/>
      <c r="CC968" s="141"/>
      <c r="CD968" s="144"/>
      <c r="CE968" s="135"/>
      <c r="CF968" s="135"/>
      <c r="CG968" s="135"/>
      <c r="CH968" s="135"/>
      <c r="CI968" s="135"/>
      <c r="CJ968" s="135"/>
      <c r="CK968" s="135"/>
      <c r="CL968" s="135"/>
      <c r="CM968" s="135"/>
      <c r="CN968" s="135"/>
      <c r="CO968" s="135"/>
      <c r="CP968" s="135"/>
      <c r="CQ968" s="135"/>
      <c r="CR968" s="135"/>
      <c r="CS968" s="135"/>
      <c r="CT968" s="135"/>
      <c r="CU968" s="135"/>
      <c r="CV968" s="135"/>
      <c r="CW968" s="135"/>
      <c r="CX968" s="135"/>
      <c r="CY968" s="135"/>
      <c r="CZ968" s="135"/>
      <c r="DA968" s="135"/>
      <c r="DB968" s="135"/>
      <c r="DC968" s="135"/>
      <c r="DD968" s="135"/>
      <c r="DE968" s="135"/>
      <c r="DF968" s="135"/>
      <c r="DG968" s="135"/>
      <c r="DH968" s="135"/>
      <c r="DI968" s="135"/>
      <c r="DJ968" s="143"/>
      <c r="DK968" s="139"/>
      <c r="DL968" s="140"/>
      <c r="DM968" s="145"/>
      <c r="DN968" s="144"/>
      <c r="DO968" s="135"/>
      <c r="DP968" s="135"/>
      <c r="DQ968" s="135"/>
      <c r="DR968" s="135"/>
      <c r="DS968" s="135"/>
      <c r="DT968" s="135"/>
      <c r="DU968" s="135"/>
      <c r="DV968" s="135"/>
      <c r="DW968" s="135"/>
      <c r="DX968" s="135"/>
      <c r="DY968" s="135"/>
      <c r="DZ968" s="135"/>
      <c r="EA968" s="135"/>
      <c r="EB968" s="135"/>
      <c r="EC968" s="135"/>
      <c r="ED968" s="135"/>
      <c r="EE968" s="135"/>
      <c r="EF968" s="135"/>
      <c r="EG968" s="135"/>
      <c r="EH968" s="135"/>
      <c r="EI968" s="135"/>
      <c r="EJ968" s="135"/>
      <c r="EK968" s="135"/>
      <c r="EL968" s="135"/>
      <c r="EM968" s="135"/>
      <c r="EN968" s="135"/>
      <c r="EO968" s="135"/>
      <c r="EP968" s="135"/>
      <c r="EQ968" s="135"/>
      <c r="ER968" s="135"/>
      <c r="ES968" s="135"/>
      <c r="ET968" s="135"/>
      <c r="EU968" s="135"/>
      <c r="EV968" s="135"/>
      <c r="EW968" s="135"/>
      <c r="EX968" s="135"/>
      <c r="EY968" s="135"/>
      <c r="EZ968" s="135"/>
      <c r="FA968" s="135"/>
      <c r="FB968" s="135"/>
      <c r="FC968" s="135"/>
      <c r="FD968" s="135"/>
      <c r="FE968" s="135"/>
      <c r="FF968" s="135"/>
      <c r="FG968" s="135"/>
      <c r="FH968" s="135"/>
      <c r="FI968" s="135"/>
      <c r="FJ968" s="135"/>
      <c r="FK968" s="135"/>
      <c r="FL968" s="135"/>
      <c r="FM968" s="135"/>
      <c r="FN968" s="135"/>
      <c r="FO968" s="135"/>
    </row>
    <row r="969">
      <c r="A969" s="135"/>
      <c r="B969" s="135"/>
      <c r="C969" s="135"/>
      <c r="D969" s="136"/>
      <c r="E969" s="136"/>
      <c r="F969" s="135"/>
      <c r="G969" s="137"/>
      <c r="H969" s="135"/>
      <c r="I969" s="138"/>
      <c r="J969" s="42"/>
      <c r="K969" s="135"/>
      <c r="L969" s="136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  <c r="AB969" s="135"/>
      <c r="AC969" s="135"/>
      <c r="AD969" s="135"/>
      <c r="AE969" s="135"/>
      <c r="AF969" s="135"/>
      <c r="AG969" s="135"/>
      <c r="AH969" s="135"/>
      <c r="AI969" s="135"/>
      <c r="AJ969" s="135"/>
      <c r="AK969" s="135"/>
      <c r="AL969" s="135"/>
      <c r="AM969" s="135"/>
      <c r="AN969" s="135"/>
      <c r="AO969" s="135"/>
      <c r="AP969" s="135"/>
      <c r="AQ969" s="139"/>
      <c r="AR969" s="140"/>
      <c r="AS969" s="141"/>
      <c r="AT969" s="142"/>
      <c r="AU969" s="135"/>
      <c r="AV969" s="135"/>
      <c r="AW969" s="135"/>
      <c r="AX969" s="135"/>
      <c r="AY969" s="135"/>
      <c r="AZ969" s="135"/>
      <c r="BA969" s="135"/>
      <c r="BB969" s="135"/>
      <c r="BC969" s="135"/>
      <c r="BD969" s="135"/>
      <c r="BE969" s="135"/>
      <c r="BF969" s="135"/>
      <c r="BG969" s="135"/>
      <c r="BH969" s="135"/>
      <c r="BI969" s="135"/>
      <c r="BJ969" s="135"/>
      <c r="BK969" s="135"/>
      <c r="BL969" s="135"/>
      <c r="BM969" s="135"/>
      <c r="BN969" s="135"/>
      <c r="BO969" s="135"/>
      <c r="BP969" s="135"/>
      <c r="BQ969" s="135"/>
      <c r="BR969" s="135"/>
      <c r="BS969" s="135"/>
      <c r="BT969" s="135"/>
      <c r="BU969" s="135"/>
      <c r="BV969" s="135"/>
      <c r="BW969" s="135"/>
      <c r="BX969" s="135"/>
      <c r="BY969" s="135"/>
      <c r="BZ969" s="143"/>
      <c r="CA969" s="139"/>
      <c r="CB969" s="140"/>
      <c r="CC969" s="141"/>
      <c r="CD969" s="144"/>
      <c r="CE969" s="135"/>
      <c r="CF969" s="135"/>
      <c r="CG969" s="135"/>
      <c r="CH969" s="135"/>
      <c r="CI969" s="135"/>
      <c r="CJ969" s="135"/>
      <c r="CK969" s="135"/>
      <c r="CL969" s="135"/>
      <c r="CM969" s="135"/>
      <c r="CN969" s="135"/>
      <c r="CO969" s="135"/>
      <c r="CP969" s="135"/>
      <c r="CQ969" s="135"/>
      <c r="CR969" s="135"/>
      <c r="CS969" s="135"/>
      <c r="CT969" s="135"/>
      <c r="CU969" s="135"/>
      <c r="CV969" s="135"/>
      <c r="CW969" s="135"/>
      <c r="CX969" s="135"/>
      <c r="CY969" s="135"/>
      <c r="CZ969" s="135"/>
      <c r="DA969" s="135"/>
      <c r="DB969" s="135"/>
      <c r="DC969" s="135"/>
      <c r="DD969" s="135"/>
      <c r="DE969" s="135"/>
      <c r="DF969" s="135"/>
      <c r="DG969" s="135"/>
      <c r="DH969" s="135"/>
      <c r="DI969" s="135"/>
      <c r="DJ969" s="143"/>
      <c r="DK969" s="139"/>
      <c r="DL969" s="140"/>
      <c r="DM969" s="145"/>
      <c r="DN969" s="144"/>
      <c r="DO969" s="135"/>
      <c r="DP969" s="135"/>
      <c r="DQ969" s="135"/>
      <c r="DR969" s="135"/>
      <c r="DS969" s="135"/>
      <c r="DT969" s="135"/>
      <c r="DU969" s="135"/>
      <c r="DV969" s="135"/>
      <c r="DW969" s="135"/>
      <c r="DX969" s="135"/>
      <c r="DY969" s="135"/>
      <c r="DZ969" s="135"/>
      <c r="EA969" s="135"/>
      <c r="EB969" s="135"/>
      <c r="EC969" s="135"/>
      <c r="ED969" s="135"/>
      <c r="EE969" s="135"/>
      <c r="EF969" s="135"/>
      <c r="EG969" s="135"/>
      <c r="EH969" s="135"/>
      <c r="EI969" s="135"/>
      <c r="EJ969" s="135"/>
      <c r="EK969" s="135"/>
      <c r="EL969" s="135"/>
      <c r="EM969" s="135"/>
      <c r="EN969" s="135"/>
      <c r="EO969" s="135"/>
      <c r="EP969" s="135"/>
      <c r="EQ969" s="135"/>
      <c r="ER969" s="135"/>
      <c r="ES969" s="135"/>
      <c r="ET969" s="135"/>
      <c r="EU969" s="135"/>
      <c r="EV969" s="135"/>
      <c r="EW969" s="135"/>
      <c r="EX969" s="135"/>
      <c r="EY969" s="135"/>
      <c r="EZ969" s="135"/>
      <c r="FA969" s="135"/>
      <c r="FB969" s="135"/>
      <c r="FC969" s="135"/>
      <c r="FD969" s="135"/>
      <c r="FE969" s="135"/>
      <c r="FF969" s="135"/>
      <c r="FG969" s="135"/>
      <c r="FH969" s="135"/>
      <c r="FI969" s="135"/>
      <c r="FJ969" s="135"/>
      <c r="FK969" s="135"/>
      <c r="FL969" s="135"/>
      <c r="FM969" s="135"/>
      <c r="FN969" s="135"/>
      <c r="FO969" s="135"/>
    </row>
    <row r="970">
      <c r="A970" s="135"/>
      <c r="B970" s="135"/>
      <c r="C970" s="135"/>
      <c r="D970" s="136"/>
      <c r="E970" s="136"/>
      <c r="F970" s="135"/>
      <c r="G970" s="137"/>
      <c r="H970" s="135"/>
      <c r="I970" s="138"/>
      <c r="J970" s="42"/>
      <c r="K970" s="135"/>
      <c r="L970" s="136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  <c r="AB970" s="135"/>
      <c r="AC970" s="135"/>
      <c r="AD970" s="135"/>
      <c r="AE970" s="135"/>
      <c r="AF970" s="135"/>
      <c r="AG970" s="135"/>
      <c r="AH970" s="135"/>
      <c r="AI970" s="135"/>
      <c r="AJ970" s="135"/>
      <c r="AK970" s="135"/>
      <c r="AL970" s="135"/>
      <c r="AM970" s="135"/>
      <c r="AN970" s="135"/>
      <c r="AO970" s="135"/>
      <c r="AP970" s="135"/>
      <c r="AQ970" s="139"/>
      <c r="AR970" s="140"/>
      <c r="AS970" s="141"/>
      <c r="AT970" s="142"/>
      <c r="AU970" s="135"/>
      <c r="AV970" s="135"/>
      <c r="AW970" s="135"/>
      <c r="AX970" s="135"/>
      <c r="AY970" s="135"/>
      <c r="AZ970" s="135"/>
      <c r="BA970" s="135"/>
      <c r="BB970" s="135"/>
      <c r="BC970" s="135"/>
      <c r="BD970" s="135"/>
      <c r="BE970" s="135"/>
      <c r="BF970" s="135"/>
      <c r="BG970" s="135"/>
      <c r="BH970" s="135"/>
      <c r="BI970" s="135"/>
      <c r="BJ970" s="135"/>
      <c r="BK970" s="135"/>
      <c r="BL970" s="135"/>
      <c r="BM970" s="135"/>
      <c r="BN970" s="135"/>
      <c r="BO970" s="135"/>
      <c r="BP970" s="135"/>
      <c r="BQ970" s="135"/>
      <c r="BR970" s="135"/>
      <c r="BS970" s="135"/>
      <c r="BT970" s="135"/>
      <c r="BU970" s="135"/>
      <c r="BV970" s="135"/>
      <c r="BW970" s="135"/>
      <c r="BX970" s="135"/>
      <c r="BY970" s="135"/>
      <c r="BZ970" s="143"/>
      <c r="CA970" s="139"/>
      <c r="CB970" s="140"/>
      <c r="CC970" s="141"/>
      <c r="CD970" s="144"/>
      <c r="CE970" s="135"/>
      <c r="CF970" s="135"/>
      <c r="CG970" s="135"/>
      <c r="CH970" s="135"/>
      <c r="CI970" s="135"/>
      <c r="CJ970" s="135"/>
      <c r="CK970" s="135"/>
      <c r="CL970" s="135"/>
      <c r="CM970" s="135"/>
      <c r="CN970" s="135"/>
      <c r="CO970" s="135"/>
      <c r="CP970" s="135"/>
      <c r="CQ970" s="135"/>
      <c r="CR970" s="135"/>
      <c r="CS970" s="135"/>
      <c r="CT970" s="135"/>
      <c r="CU970" s="135"/>
      <c r="CV970" s="135"/>
      <c r="CW970" s="135"/>
      <c r="CX970" s="135"/>
      <c r="CY970" s="135"/>
      <c r="CZ970" s="135"/>
      <c r="DA970" s="135"/>
      <c r="DB970" s="135"/>
      <c r="DC970" s="135"/>
      <c r="DD970" s="135"/>
      <c r="DE970" s="135"/>
      <c r="DF970" s="135"/>
      <c r="DG970" s="135"/>
      <c r="DH970" s="135"/>
      <c r="DI970" s="135"/>
      <c r="DJ970" s="143"/>
      <c r="DK970" s="139"/>
      <c r="DL970" s="140"/>
      <c r="DM970" s="145"/>
      <c r="DN970" s="144"/>
      <c r="DO970" s="135"/>
      <c r="DP970" s="135"/>
      <c r="DQ970" s="135"/>
      <c r="DR970" s="135"/>
      <c r="DS970" s="135"/>
      <c r="DT970" s="135"/>
      <c r="DU970" s="135"/>
      <c r="DV970" s="135"/>
      <c r="DW970" s="135"/>
      <c r="DX970" s="135"/>
      <c r="DY970" s="135"/>
      <c r="DZ970" s="135"/>
      <c r="EA970" s="135"/>
      <c r="EB970" s="135"/>
      <c r="EC970" s="135"/>
      <c r="ED970" s="135"/>
      <c r="EE970" s="135"/>
      <c r="EF970" s="135"/>
      <c r="EG970" s="135"/>
      <c r="EH970" s="135"/>
      <c r="EI970" s="135"/>
      <c r="EJ970" s="135"/>
      <c r="EK970" s="135"/>
      <c r="EL970" s="135"/>
      <c r="EM970" s="135"/>
      <c r="EN970" s="135"/>
      <c r="EO970" s="135"/>
      <c r="EP970" s="135"/>
      <c r="EQ970" s="135"/>
      <c r="ER970" s="135"/>
      <c r="ES970" s="135"/>
      <c r="ET970" s="135"/>
      <c r="EU970" s="135"/>
      <c r="EV970" s="135"/>
      <c r="EW970" s="135"/>
      <c r="EX970" s="135"/>
      <c r="EY970" s="135"/>
      <c r="EZ970" s="135"/>
      <c r="FA970" s="135"/>
      <c r="FB970" s="135"/>
      <c r="FC970" s="135"/>
      <c r="FD970" s="135"/>
      <c r="FE970" s="135"/>
      <c r="FF970" s="135"/>
      <c r="FG970" s="135"/>
      <c r="FH970" s="135"/>
      <c r="FI970" s="135"/>
      <c r="FJ970" s="135"/>
      <c r="FK970" s="135"/>
      <c r="FL970" s="135"/>
      <c r="FM970" s="135"/>
      <c r="FN970" s="135"/>
      <c r="FO970" s="135"/>
    </row>
    <row r="971">
      <c r="A971" s="135"/>
      <c r="B971" s="135"/>
      <c r="C971" s="135"/>
      <c r="D971" s="136"/>
      <c r="E971" s="136"/>
      <c r="F971" s="135"/>
      <c r="G971" s="137"/>
      <c r="H971" s="135"/>
      <c r="I971" s="138"/>
      <c r="J971" s="42"/>
      <c r="K971" s="135"/>
      <c r="L971" s="136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  <c r="AB971" s="135"/>
      <c r="AC971" s="135"/>
      <c r="AD971" s="135"/>
      <c r="AE971" s="135"/>
      <c r="AF971" s="135"/>
      <c r="AG971" s="135"/>
      <c r="AH971" s="135"/>
      <c r="AI971" s="135"/>
      <c r="AJ971" s="135"/>
      <c r="AK971" s="135"/>
      <c r="AL971" s="135"/>
      <c r="AM971" s="135"/>
      <c r="AN971" s="135"/>
      <c r="AO971" s="135"/>
      <c r="AP971" s="135"/>
      <c r="AQ971" s="139"/>
      <c r="AR971" s="140"/>
      <c r="AS971" s="141"/>
      <c r="AT971" s="142"/>
      <c r="AU971" s="135"/>
      <c r="AV971" s="135"/>
      <c r="AW971" s="135"/>
      <c r="AX971" s="135"/>
      <c r="AY971" s="135"/>
      <c r="AZ971" s="135"/>
      <c r="BA971" s="135"/>
      <c r="BB971" s="135"/>
      <c r="BC971" s="135"/>
      <c r="BD971" s="135"/>
      <c r="BE971" s="135"/>
      <c r="BF971" s="135"/>
      <c r="BG971" s="135"/>
      <c r="BH971" s="135"/>
      <c r="BI971" s="135"/>
      <c r="BJ971" s="135"/>
      <c r="BK971" s="135"/>
      <c r="BL971" s="135"/>
      <c r="BM971" s="135"/>
      <c r="BN971" s="135"/>
      <c r="BO971" s="135"/>
      <c r="BP971" s="135"/>
      <c r="BQ971" s="135"/>
      <c r="BR971" s="135"/>
      <c r="BS971" s="135"/>
      <c r="BT971" s="135"/>
      <c r="BU971" s="135"/>
      <c r="BV971" s="135"/>
      <c r="BW971" s="135"/>
      <c r="BX971" s="135"/>
      <c r="BY971" s="135"/>
      <c r="BZ971" s="143"/>
      <c r="CA971" s="139"/>
      <c r="CB971" s="140"/>
      <c r="CC971" s="141"/>
      <c r="CD971" s="144"/>
      <c r="CE971" s="135"/>
      <c r="CF971" s="135"/>
      <c r="CG971" s="135"/>
      <c r="CH971" s="135"/>
      <c r="CI971" s="135"/>
      <c r="CJ971" s="135"/>
      <c r="CK971" s="135"/>
      <c r="CL971" s="135"/>
      <c r="CM971" s="135"/>
      <c r="CN971" s="135"/>
      <c r="CO971" s="135"/>
      <c r="CP971" s="135"/>
      <c r="CQ971" s="135"/>
      <c r="CR971" s="135"/>
      <c r="CS971" s="135"/>
      <c r="CT971" s="135"/>
      <c r="CU971" s="135"/>
      <c r="CV971" s="135"/>
      <c r="CW971" s="135"/>
      <c r="CX971" s="135"/>
      <c r="CY971" s="135"/>
      <c r="CZ971" s="135"/>
      <c r="DA971" s="135"/>
      <c r="DB971" s="135"/>
      <c r="DC971" s="135"/>
      <c r="DD971" s="135"/>
      <c r="DE971" s="135"/>
      <c r="DF971" s="135"/>
      <c r="DG971" s="135"/>
      <c r="DH971" s="135"/>
      <c r="DI971" s="135"/>
      <c r="DJ971" s="143"/>
      <c r="DK971" s="139"/>
      <c r="DL971" s="140"/>
      <c r="DM971" s="145"/>
      <c r="DN971" s="144"/>
      <c r="DO971" s="135"/>
      <c r="DP971" s="135"/>
      <c r="DQ971" s="135"/>
      <c r="DR971" s="135"/>
      <c r="DS971" s="135"/>
      <c r="DT971" s="135"/>
      <c r="DU971" s="135"/>
      <c r="DV971" s="135"/>
      <c r="DW971" s="135"/>
      <c r="DX971" s="135"/>
      <c r="DY971" s="135"/>
      <c r="DZ971" s="135"/>
      <c r="EA971" s="135"/>
      <c r="EB971" s="135"/>
      <c r="EC971" s="135"/>
      <c r="ED971" s="135"/>
      <c r="EE971" s="135"/>
      <c r="EF971" s="135"/>
      <c r="EG971" s="135"/>
      <c r="EH971" s="135"/>
      <c r="EI971" s="135"/>
      <c r="EJ971" s="135"/>
      <c r="EK971" s="135"/>
      <c r="EL971" s="135"/>
      <c r="EM971" s="135"/>
      <c r="EN971" s="135"/>
      <c r="EO971" s="135"/>
      <c r="EP971" s="135"/>
      <c r="EQ971" s="135"/>
      <c r="ER971" s="135"/>
      <c r="ES971" s="135"/>
      <c r="ET971" s="135"/>
      <c r="EU971" s="135"/>
      <c r="EV971" s="135"/>
      <c r="EW971" s="135"/>
      <c r="EX971" s="135"/>
      <c r="EY971" s="135"/>
      <c r="EZ971" s="135"/>
      <c r="FA971" s="135"/>
      <c r="FB971" s="135"/>
      <c r="FC971" s="135"/>
      <c r="FD971" s="135"/>
      <c r="FE971" s="135"/>
      <c r="FF971" s="135"/>
      <c r="FG971" s="135"/>
      <c r="FH971" s="135"/>
      <c r="FI971" s="135"/>
      <c r="FJ971" s="135"/>
      <c r="FK971" s="135"/>
      <c r="FL971" s="135"/>
      <c r="FM971" s="135"/>
      <c r="FN971" s="135"/>
      <c r="FO971" s="135"/>
    </row>
    <row r="972">
      <c r="A972" s="135"/>
      <c r="B972" s="135"/>
      <c r="C972" s="135"/>
      <c r="D972" s="136"/>
      <c r="E972" s="136"/>
      <c r="F972" s="135"/>
      <c r="G972" s="137"/>
      <c r="H972" s="135"/>
      <c r="I972" s="138"/>
      <c r="J972" s="42"/>
      <c r="K972" s="135"/>
      <c r="L972" s="136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  <c r="AB972" s="135"/>
      <c r="AC972" s="135"/>
      <c r="AD972" s="135"/>
      <c r="AE972" s="135"/>
      <c r="AF972" s="135"/>
      <c r="AG972" s="135"/>
      <c r="AH972" s="135"/>
      <c r="AI972" s="135"/>
      <c r="AJ972" s="135"/>
      <c r="AK972" s="135"/>
      <c r="AL972" s="135"/>
      <c r="AM972" s="135"/>
      <c r="AN972" s="135"/>
      <c r="AO972" s="135"/>
      <c r="AP972" s="135"/>
      <c r="AQ972" s="139"/>
      <c r="AR972" s="140"/>
      <c r="AS972" s="141"/>
      <c r="AT972" s="142"/>
      <c r="AU972" s="135"/>
      <c r="AV972" s="135"/>
      <c r="AW972" s="135"/>
      <c r="AX972" s="135"/>
      <c r="AY972" s="135"/>
      <c r="AZ972" s="135"/>
      <c r="BA972" s="135"/>
      <c r="BB972" s="135"/>
      <c r="BC972" s="135"/>
      <c r="BD972" s="135"/>
      <c r="BE972" s="135"/>
      <c r="BF972" s="135"/>
      <c r="BG972" s="135"/>
      <c r="BH972" s="135"/>
      <c r="BI972" s="135"/>
      <c r="BJ972" s="135"/>
      <c r="BK972" s="135"/>
      <c r="BL972" s="135"/>
      <c r="BM972" s="135"/>
      <c r="BN972" s="135"/>
      <c r="BO972" s="135"/>
      <c r="BP972" s="135"/>
      <c r="BQ972" s="135"/>
      <c r="BR972" s="135"/>
      <c r="BS972" s="135"/>
      <c r="BT972" s="135"/>
      <c r="BU972" s="135"/>
      <c r="BV972" s="135"/>
      <c r="BW972" s="135"/>
      <c r="BX972" s="135"/>
      <c r="BY972" s="135"/>
      <c r="BZ972" s="143"/>
      <c r="CA972" s="139"/>
      <c r="CB972" s="140"/>
      <c r="CC972" s="141"/>
      <c r="CD972" s="144"/>
      <c r="CE972" s="135"/>
      <c r="CF972" s="135"/>
      <c r="CG972" s="135"/>
      <c r="CH972" s="135"/>
      <c r="CI972" s="135"/>
      <c r="CJ972" s="135"/>
      <c r="CK972" s="135"/>
      <c r="CL972" s="135"/>
      <c r="CM972" s="135"/>
      <c r="CN972" s="135"/>
      <c r="CO972" s="135"/>
      <c r="CP972" s="135"/>
      <c r="CQ972" s="135"/>
      <c r="CR972" s="135"/>
      <c r="CS972" s="135"/>
      <c r="CT972" s="135"/>
      <c r="CU972" s="135"/>
      <c r="CV972" s="135"/>
      <c r="CW972" s="135"/>
      <c r="CX972" s="135"/>
      <c r="CY972" s="135"/>
      <c r="CZ972" s="135"/>
      <c r="DA972" s="135"/>
      <c r="DB972" s="135"/>
      <c r="DC972" s="135"/>
      <c r="DD972" s="135"/>
      <c r="DE972" s="135"/>
      <c r="DF972" s="135"/>
      <c r="DG972" s="135"/>
      <c r="DH972" s="135"/>
      <c r="DI972" s="135"/>
      <c r="DJ972" s="143"/>
      <c r="DK972" s="139"/>
      <c r="DL972" s="140"/>
      <c r="DM972" s="145"/>
      <c r="DN972" s="144"/>
      <c r="DO972" s="135"/>
      <c r="DP972" s="135"/>
      <c r="DQ972" s="135"/>
      <c r="DR972" s="135"/>
      <c r="DS972" s="135"/>
      <c r="DT972" s="135"/>
      <c r="DU972" s="135"/>
      <c r="DV972" s="135"/>
      <c r="DW972" s="135"/>
      <c r="DX972" s="135"/>
      <c r="DY972" s="135"/>
      <c r="DZ972" s="135"/>
      <c r="EA972" s="135"/>
      <c r="EB972" s="135"/>
      <c r="EC972" s="135"/>
      <c r="ED972" s="135"/>
      <c r="EE972" s="135"/>
      <c r="EF972" s="135"/>
      <c r="EG972" s="135"/>
      <c r="EH972" s="135"/>
      <c r="EI972" s="135"/>
      <c r="EJ972" s="135"/>
      <c r="EK972" s="135"/>
      <c r="EL972" s="135"/>
      <c r="EM972" s="135"/>
      <c r="EN972" s="135"/>
      <c r="EO972" s="135"/>
      <c r="EP972" s="135"/>
      <c r="EQ972" s="135"/>
      <c r="ER972" s="135"/>
      <c r="ES972" s="135"/>
      <c r="ET972" s="135"/>
      <c r="EU972" s="135"/>
      <c r="EV972" s="135"/>
      <c r="EW972" s="135"/>
      <c r="EX972" s="135"/>
      <c r="EY972" s="135"/>
      <c r="EZ972" s="135"/>
      <c r="FA972" s="135"/>
      <c r="FB972" s="135"/>
      <c r="FC972" s="135"/>
      <c r="FD972" s="135"/>
      <c r="FE972" s="135"/>
      <c r="FF972" s="135"/>
      <c r="FG972" s="135"/>
      <c r="FH972" s="135"/>
      <c r="FI972" s="135"/>
      <c r="FJ972" s="135"/>
      <c r="FK972" s="135"/>
      <c r="FL972" s="135"/>
      <c r="FM972" s="135"/>
      <c r="FN972" s="135"/>
      <c r="FO972" s="135"/>
    </row>
    <row r="973">
      <c r="A973" s="135"/>
      <c r="B973" s="135"/>
      <c r="C973" s="135"/>
      <c r="D973" s="136"/>
      <c r="E973" s="136"/>
      <c r="F973" s="135"/>
      <c r="G973" s="137"/>
      <c r="H973" s="135"/>
      <c r="I973" s="138"/>
      <c r="J973" s="42"/>
      <c r="K973" s="135"/>
      <c r="L973" s="136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  <c r="AB973" s="135"/>
      <c r="AC973" s="135"/>
      <c r="AD973" s="135"/>
      <c r="AE973" s="135"/>
      <c r="AF973" s="135"/>
      <c r="AG973" s="135"/>
      <c r="AH973" s="135"/>
      <c r="AI973" s="135"/>
      <c r="AJ973" s="135"/>
      <c r="AK973" s="135"/>
      <c r="AL973" s="135"/>
      <c r="AM973" s="135"/>
      <c r="AN973" s="135"/>
      <c r="AO973" s="135"/>
      <c r="AP973" s="135"/>
      <c r="AQ973" s="139"/>
      <c r="AR973" s="140"/>
      <c r="AS973" s="141"/>
      <c r="AT973" s="142"/>
      <c r="AU973" s="135"/>
      <c r="AV973" s="135"/>
      <c r="AW973" s="135"/>
      <c r="AX973" s="135"/>
      <c r="AY973" s="135"/>
      <c r="AZ973" s="135"/>
      <c r="BA973" s="135"/>
      <c r="BB973" s="135"/>
      <c r="BC973" s="135"/>
      <c r="BD973" s="135"/>
      <c r="BE973" s="135"/>
      <c r="BF973" s="135"/>
      <c r="BG973" s="135"/>
      <c r="BH973" s="135"/>
      <c r="BI973" s="135"/>
      <c r="BJ973" s="135"/>
      <c r="BK973" s="135"/>
      <c r="BL973" s="135"/>
      <c r="BM973" s="135"/>
      <c r="BN973" s="135"/>
      <c r="BO973" s="135"/>
      <c r="BP973" s="135"/>
      <c r="BQ973" s="135"/>
      <c r="BR973" s="135"/>
      <c r="BS973" s="135"/>
      <c r="BT973" s="135"/>
      <c r="BU973" s="135"/>
      <c r="BV973" s="135"/>
      <c r="BW973" s="135"/>
      <c r="BX973" s="135"/>
      <c r="BY973" s="135"/>
      <c r="BZ973" s="143"/>
      <c r="CA973" s="139"/>
      <c r="CB973" s="140"/>
      <c r="CC973" s="141"/>
      <c r="CD973" s="144"/>
      <c r="CE973" s="135"/>
      <c r="CF973" s="135"/>
      <c r="CG973" s="135"/>
      <c r="CH973" s="135"/>
      <c r="CI973" s="135"/>
      <c r="CJ973" s="135"/>
      <c r="CK973" s="135"/>
      <c r="CL973" s="135"/>
      <c r="CM973" s="135"/>
      <c r="CN973" s="135"/>
      <c r="CO973" s="135"/>
      <c r="CP973" s="135"/>
      <c r="CQ973" s="135"/>
      <c r="CR973" s="135"/>
      <c r="CS973" s="135"/>
      <c r="CT973" s="135"/>
      <c r="CU973" s="135"/>
      <c r="CV973" s="135"/>
      <c r="CW973" s="135"/>
      <c r="CX973" s="135"/>
      <c r="CY973" s="135"/>
      <c r="CZ973" s="135"/>
      <c r="DA973" s="135"/>
      <c r="DB973" s="135"/>
      <c r="DC973" s="135"/>
      <c r="DD973" s="135"/>
      <c r="DE973" s="135"/>
      <c r="DF973" s="135"/>
      <c r="DG973" s="135"/>
      <c r="DH973" s="135"/>
      <c r="DI973" s="135"/>
      <c r="DJ973" s="143"/>
      <c r="DK973" s="139"/>
      <c r="DL973" s="140"/>
      <c r="DM973" s="145"/>
      <c r="DN973" s="144"/>
      <c r="DO973" s="135"/>
      <c r="DP973" s="135"/>
      <c r="DQ973" s="135"/>
      <c r="DR973" s="135"/>
      <c r="DS973" s="135"/>
      <c r="DT973" s="135"/>
      <c r="DU973" s="135"/>
      <c r="DV973" s="135"/>
      <c r="DW973" s="135"/>
      <c r="DX973" s="135"/>
      <c r="DY973" s="135"/>
      <c r="DZ973" s="135"/>
      <c r="EA973" s="135"/>
      <c r="EB973" s="135"/>
      <c r="EC973" s="135"/>
      <c r="ED973" s="135"/>
      <c r="EE973" s="135"/>
      <c r="EF973" s="135"/>
      <c r="EG973" s="135"/>
      <c r="EH973" s="135"/>
      <c r="EI973" s="135"/>
      <c r="EJ973" s="135"/>
      <c r="EK973" s="135"/>
      <c r="EL973" s="135"/>
      <c r="EM973" s="135"/>
      <c r="EN973" s="135"/>
      <c r="EO973" s="135"/>
      <c r="EP973" s="135"/>
      <c r="EQ973" s="135"/>
      <c r="ER973" s="135"/>
      <c r="ES973" s="135"/>
      <c r="ET973" s="135"/>
      <c r="EU973" s="135"/>
      <c r="EV973" s="135"/>
      <c r="EW973" s="135"/>
      <c r="EX973" s="135"/>
      <c r="EY973" s="135"/>
      <c r="EZ973" s="135"/>
      <c r="FA973" s="135"/>
      <c r="FB973" s="135"/>
      <c r="FC973" s="135"/>
      <c r="FD973" s="135"/>
      <c r="FE973" s="135"/>
      <c r="FF973" s="135"/>
      <c r="FG973" s="135"/>
      <c r="FH973" s="135"/>
      <c r="FI973" s="135"/>
      <c r="FJ973" s="135"/>
      <c r="FK973" s="135"/>
      <c r="FL973" s="135"/>
      <c r="FM973" s="135"/>
      <c r="FN973" s="135"/>
      <c r="FO973" s="135"/>
    </row>
    <row r="974">
      <c r="A974" s="135"/>
      <c r="B974" s="135"/>
      <c r="C974" s="135"/>
      <c r="D974" s="136"/>
      <c r="E974" s="136"/>
      <c r="F974" s="135"/>
      <c r="G974" s="137"/>
      <c r="H974" s="135"/>
      <c r="I974" s="138"/>
      <c r="J974" s="42"/>
      <c r="K974" s="135"/>
      <c r="L974" s="136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  <c r="AB974" s="135"/>
      <c r="AC974" s="135"/>
      <c r="AD974" s="135"/>
      <c r="AE974" s="135"/>
      <c r="AF974" s="135"/>
      <c r="AG974" s="135"/>
      <c r="AH974" s="135"/>
      <c r="AI974" s="135"/>
      <c r="AJ974" s="135"/>
      <c r="AK974" s="135"/>
      <c r="AL974" s="135"/>
      <c r="AM974" s="135"/>
      <c r="AN974" s="135"/>
      <c r="AO974" s="135"/>
      <c r="AP974" s="135"/>
      <c r="AQ974" s="139"/>
      <c r="AR974" s="140"/>
      <c r="AS974" s="141"/>
      <c r="AT974" s="142"/>
      <c r="AU974" s="135"/>
      <c r="AV974" s="135"/>
      <c r="AW974" s="135"/>
      <c r="AX974" s="135"/>
      <c r="AY974" s="135"/>
      <c r="AZ974" s="135"/>
      <c r="BA974" s="135"/>
      <c r="BB974" s="135"/>
      <c r="BC974" s="135"/>
      <c r="BD974" s="135"/>
      <c r="BE974" s="135"/>
      <c r="BF974" s="135"/>
      <c r="BG974" s="135"/>
      <c r="BH974" s="135"/>
      <c r="BI974" s="135"/>
      <c r="BJ974" s="135"/>
      <c r="BK974" s="135"/>
      <c r="BL974" s="135"/>
      <c r="BM974" s="135"/>
      <c r="BN974" s="135"/>
      <c r="BO974" s="135"/>
      <c r="BP974" s="135"/>
      <c r="BQ974" s="135"/>
      <c r="BR974" s="135"/>
      <c r="BS974" s="135"/>
      <c r="BT974" s="135"/>
      <c r="BU974" s="135"/>
      <c r="BV974" s="135"/>
      <c r="BW974" s="135"/>
      <c r="BX974" s="135"/>
      <c r="BY974" s="135"/>
      <c r="BZ974" s="143"/>
      <c r="CA974" s="139"/>
      <c r="CB974" s="140"/>
      <c r="CC974" s="141"/>
      <c r="CD974" s="144"/>
      <c r="CE974" s="135"/>
      <c r="CF974" s="135"/>
      <c r="CG974" s="135"/>
      <c r="CH974" s="135"/>
      <c r="CI974" s="135"/>
      <c r="CJ974" s="135"/>
      <c r="CK974" s="135"/>
      <c r="CL974" s="135"/>
      <c r="CM974" s="135"/>
      <c r="CN974" s="135"/>
      <c r="CO974" s="135"/>
      <c r="CP974" s="135"/>
      <c r="CQ974" s="135"/>
      <c r="CR974" s="135"/>
      <c r="CS974" s="135"/>
      <c r="CT974" s="135"/>
      <c r="CU974" s="135"/>
      <c r="CV974" s="135"/>
      <c r="CW974" s="135"/>
      <c r="CX974" s="135"/>
      <c r="CY974" s="135"/>
      <c r="CZ974" s="135"/>
      <c r="DA974" s="135"/>
      <c r="DB974" s="135"/>
      <c r="DC974" s="135"/>
      <c r="DD974" s="135"/>
      <c r="DE974" s="135"/>
      <c r="DF974" s="135"/>
      <c r="DG974" s="135"/>
      <c r="DH974" s="135"/>
      <c r="DI974" s="135"/>
      <c r="DJ974" s="143"/>
      <c r="DK974" s="139"/>
      <c r="DL974" s="140"/>
      <c r="DM974" s="145"/>
      <c r="DN974" s="144"/>
      <c r="DO974" s="135"/>
      <c r="DP974" s="135"/>
      <c r="DQ974" s="135"/>
      <c r="DR974" s="135"/>
      <c r="DS974" s="135"/>
      <c r="DT974" s="135"/>
      <c r="DU974" s="135"/>
      <c r="DV974" s="135"/>
      <c r="DW974" s="135"/>
      <c r="DX974" s="135"/>
      <c r="DY974" s="135"/>
      <c r="DZ974" s="135"/>
      <c r="EA974" s="135"/>
      <c r="EB974" s="135"/>
      <c r="EC974" s="135"/>
      <c r="ED974" s="135"/>
      <c r="EE974" s="135"/>
      <c r="EF974" s="135"/>
      <c r="EG974" s="135"/>
      <c r="EH974" s="135"/>
      <c r="EI974" s="135"/>
      <c r="EJ974" s="135"/>
      <c r="EK974" s="135"/>
      <c r="EL974" s="135"/>
      <c r="EM974" s="135"/>
      <c r="EN974" s="135"/>
      <c r="EO974" s="135"/>
      <c r="EP974" s="135"/>
      <c r="EQ974" s="135"/>
      <c r="ER974" s="135"/>
      <c r="ES974" s="135"/>
      <c r="ET974" s="135"/>
      <c r="EU974" s="135"/>
      <c r="EV974" s="135"/>
      <c r="EW974" s="135"/>
      <c r="EX974" s="135"/>
      <c r="EY974" s="135"/>
      <c r="EZ974" s="135"/>
      <c r="FA974" s="135"/>
      <c r="FB974" s="135"/>
      <c r="FC974" s="135"/>
      <c r="FD974" s="135"/>
      <c r="FE974" s="135"/>
      <c r="FF974" s="135"/>
      <c r="FG974" s="135"/>
      <c r="FH974" s="135"/>
      <c r="FI974" s="135"/>
      <c r="FJ974" s="135"/>
      <c r="FK974" s="135"/>
      <c r="FL974" s="135"/>
      <c r="FM974" s="135"/>
      <c r="FN974" s="135"/>
      <c r="FO974" s="135"/>
    </row>
  </sheetData>
  <mergeCells count="326">
    <mergeCell ref="FL9:FM9"/>
    <mergeCell ref="FN9:FO9"/>
    <mergeCell ref="EX9:EY9"/>
    <mergeCell ref="EZ9:FA9"/>
    <mergeCell ref="FB9:FC9"/>
    <mergeCell ref="FD9:FE9"/>
    <mergeCell ref="FF9:FG9"/>
    <mergeCell ref="FH9:FI9"/>
    <mergeCell ref="FJ9:FK9"/>
    <mergeCell ref="D2:E2"/>
    <mergeCell ref="F3:H3"/>
    <mergeCell ref="O8:AL8"/>
    <mergeCell ref="AY8:BV8"/>
    <mergeCell ref="CI8:DF8"/>
    <mergeCell ref="DT8:EQ8"/>
    <mergeCell ref="ER8:FO8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CI9:CJ9"/>
    <mergeCell ref="CK9:CL9"/>
    <mergeCell ref="CM9:CN9"/>
    <mergeCell ref="CO9:CP9"/>
    <mergeCell ref="CQ9:CR9"/>
    <mergeCell ref="CS9:CT9"/>
    <mergeCell ref="CU9:CV9"/>
    <mergeCell ref="CW9:CX9"/>
    <mergeCell ref="CY9:CZ9"/>
    <mergeCell ref="DA9:DB9"/>
    <mergeCell ref="DC9:DD9"/>
    <mergeCell ref="DE9:DF9"/>
    <mergeCell ref="DT9:DU9"/>
    <mergeCell ref="DV9:DW9"/>
    <mergeCell ref="DX9:DY9"/>
    <mergeCell ref="DZ9:EA9"/>
    <mergeCell ref="EB9:EC9"/>
    <mergeCell ref="ED9:EE9"/>
    <mergeCell ref="DA20:DB20"/>
    <mergeCell ref="DC20:DD20"/>
    <mergeCell ref="DQ29:DQ35"/>
    <mergeCell ref="CG29:CG35"/>
    <mergeCell ref="CI30:DF30"/>
    <mergeCell ref="CM20:CN20"/>
    <mergeCell ref="CO20:CP20"/>
    <mergeCell ref="CQ20:CR20"/>
    <mergeCell ref="CS20:CT20"/>
    <mergeCell ref="CU20:CV20"/>
    <mergeCell ref="CW20:CX20"/>
    <mergeCell ref="CY20:CZ20"/>
    <mergeCell ref="EX20:EY20"/>
    <mergeCell ref="EZ20:FA20"/>
    <mergeCell ref="FB20:FC20"/>
    <mergeCell ref="FD20:FE20"/>
    <mergeCell ref="FF20:FG20"/>
    <mergeCell ref="FH20:FI20"/>
    <mergeCell ref="FJ20:FK20"/>
    <mergeCell ref="FL20:FM20"/>
    <mergeCell ref="DQ11:DQ17"/>
    <mergeCell ref="DT19:EQ19"/>
    <mergeCell ref="ER19:FO19"/>
    <mergeCell ref="EL20:EM20"/>
    <mergeCell ref="EN20:EO20"/>
    <mergeCell ref="EP20:EQ20"/>
    <mergeCell ref="ER20:ES20"/>
    <mergeCell ref="FN20:FO20"/>
    <mergeCell ref="ET9:EU9"/>
    <mergeCell ref="EV9:EW9"/>
    <mergeCell ref="EF9:EG9"/>
    <mergeCell ref="EH9:EI9"/>
    <mergeCell ref="EJ9:EK9"/>
    <mergeCell ref="EL9:EM9"/>
    <mergeCell ref="EN9:EO9"/>
    <mergeCell ref="EP9:EQ9"/>
    <mergeCell ref="ER9:ES9"/>
    <mergeCell ref="O20:P20"/>
    <mergeCell ref="Q20:R20"/>
    <mergeCell ref="S20:T20"/>
    <mergeCell ref="U20:V20"/>
    <mergeCell ref="W20:X20"/>
    <mergeCell ref="Y20:Z20"/>
    <mergeCell ref="AA20:AB20"/>
    <mergeCell ref="AC20:AD20"/>
    <mergeCell ref="BQ20:BR20"/>
    <mergeCell ref="BS20:BT20"/>
    <mergeCell ref="BU20:BV20"/>
    <mergeCell ref="CI20:CJ20"/>
    <mergeCell ref="CK20:CL20"/>
    <mergeCell ref="ET20:EU20"/>
    <mergeCell ref="EV20:EW20"/>
    <mergeCell ref="AA31:AB31"/>
    <mergeCell ref="AC31:AD31"/>
    <mergeCell ref="AI20:AJ20"/>
    <mergeCell ref="AK20:AL20"/>
    <mergeCell ref="O30:AL30"/>
    <mergeCell ref="O31:P31"/>
    <mergeCell ref="Q31:R31"/>
    <mergeCell ref="S31:T31"/>
    <mergeCell ref="U31:V31"/>
    <mergeCell ref="EX31:EY31"/>
    <mergeCell ref="EZ31:FA31"/>
    <mergeCell ref="FB31:FC31"/>
    <mergeCell ref="FD31:FE31"/>
    <mergeCell ref="FF31:FG31"/>
    <mergeCell ref="FH31:FI31"/>
    <mergeCell ref="FJ31:FK31"/>
    <mergeCell ref="FL31:FM31"/>
    <mergeCell ref="DT30:EQ30"/>
    <mergeCell ref="ER30:FO30"/>
    <mergeCell ref="DT31:DU31"/>
    <mergeCell ref="DV31:DW31"/>
    <mergeCell ref="DX31:DY31"/>
    <mergeCell ref="DZ31:EA31"/>
    <mergeCell ref="EB31:EC31"/>
    <mergeCell ref="FN31:FO31"/>
    <mergeCell ref="EH20:EI20"/>
    <mergeCell ref="EJ20:EK20"/>
    <mergeCell ref="DT20:DU20"/>
    <mergeCell ref="DV20:DW20"/>
    <mergeCell ref="DX20:DY20"/>
    <mergeCell ref="DZ20:EA20"/>
    <mergeCell ref="EB20:EC20"/>
    <mergeCell ref="ED20:EE20"/>
    <mergeCell ref="EF20:EG20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CU51:CV51"/>
    <mergeCell ref="CW51:CX51"/>
    <mergeCell ref="CY51:CZ51"/>
    <mergeCell ref="DA51:DB51"/>
    <mergeCell ref="DC51:DD51"/>
    <mergeCell ref="DE51:DF51"/>
    <mergeCell ref="DC42:DD42"/>
    <mergeCell ref="DE42:DF42"/>
    <mergeCell ref="CI50:DF50"/>
    <mergeCell ref="CI51:CJ51"/>
    <mergeCell ref="CK51:CL51"/>
    <mergeCell ref="CM51:CN51"/>
    <mergeCell ref="CO51:CP51"/>
    <mergeCell ref="CQ42:CR42"/>
    <mergeCell ref="CS42:CT42"/>
    <mergeCell ref="CU42:CV42"/>
    <mergeCell ref="CW42:CX42"/>
    <mergeCell ref="CY42:CZ42"/>
    <mergeCell ref="DA42:DB42"/>
    <mergeCell ref="DT42:DU42"/>
    <mergeCell ref="DV42:DW42"/>
    <mergeCell ref="DQ47:DQ53"/>
    <mergeCell ref="DX42:DY42"/>
    <mergeCell ref="DZ42:EA42"/>
    <mergeCell ref="EB42:EC42"/>
    <mergeCell ref="ED42:EE42"/>
    <mergeCell ref="CQ51:CR51"/>
    <mergeCell ref="CS51:CT51"/>
    <mergeCell ref="AW20:AW26"/>
    <mergeCell ref="AY20:AZ20"/>
    <mergeCell ref="CI19:DF19"/>
    <mergeCell ref="DE20:DF20"/>
    <mergeCell ref="DQ20:DQ26"/>
    <mergeCell ref="B11:B17"/>
    <mergeCell ref="AW11:AW17"/>
    <mergeCell ref="CG11:CG17"/>
    <mergeCell ref="O19:AL19"/>
    <mergeCell ref="AY19:BV19"/>
    <mergeCell ref="B20:B26"/>
    <mergeCell ref="CG20:CG26"/>
    <mergeCell ref="M11:M17"/>
    <mergeCell ref="M20:M26"/>
    <mergeCell ref="B29:B35"/>
    <mergeCell ref="M29:M35"/>
    <mergeCell ref="B38:B44"/>
    <mergeCell ref="M38:M44"/>
    <mergeCell ref="AE20:AF20"/>
    <mergeCell ref="AG20:AH20"/>
    <mergeCell ref="BE20:BF20"/>
    <mergeCell ref="BG20:BH20"/>
    <mergeCell ref="BI20:BJ20"/>
    <mergeCell ref="BK20:BL20"/>
    <mergeCell ref="BM20:BN20"/>
    <mergeCell ref="BO20:BP20"/>
    <mergeCell ref="AY30:BV30"/>
    <mergeCell ref="CG38:CG44"/>
    <mergeCell ref="AY41:BV41"/>
    <mergeCell ref="BC42:BD42"/>
    <mergeCell ref="BE42:BF42"/>
    <mergeCell ref="W31:X31"/>
    <mergeCell ref="Y31:Z31"/>
    <mergeCell ref="AE31:AF31"/>
    <mergeCell ref="AG31:AH31"/>
    <mergeCell ref="AI31:AJ31"/>
    <mergeCell ref="AK31:AL31"/>
    <mergeCell ref="BE31:BF31"/>
    <mergeCell ref="AY42:AZ42"/>
    <mergeCell ref="BA42:BB42"/>
    <mergeCell ref="BA20:BB20"/>
    <mergeCell ref="BC20:BD20"/>
    <mergeCell ref="AW29:AW35"/>
    <mergeCell ref="AY31:AZ31"/>
    <mergeCell ref="BA31:BB31"/>
    <mergeCell ref="BC31:BD31"/>
    <mergeCell ref="AW38:AW44"/>
    <mergeCell ref="BG31:BH31"/>
    <mergeCell ref="BI31:BJ31"/>
    <mergeCell ref="BK31:BL31"/>
    <mergeCell ref="BM31:BN31"/>
    <mergeCell ref="BO31:BP31"/>
    <mergeCell ref="BQ31:BR31"/>
    <mergeCell ref="BS31:BT31"/>
    <mergeCell ref="BU31:BV31"/>
    <mergeCell ref="CI31:CJ31"/>
    <mergeCell ref="CK31:CL31"/>
    <mergeCell ref="CM31:CN31"/>
    <mergeCell ref="CO31:CP31"/>
    <mergeCell ref="CQ31:CR31"/>
    <mergeCell ref="CS31:CT31"/>
    <mergeCell ref="CU31:CV31"/>
    <mergeCell ref="CW31:CX31"/>
    <mergeCell ref="CY31:CZ31"/>
    <mergeCell ref="DA31:DB31"/>
    <mergeCell ref="DC31:DD31"/>
    <mergeCell ref="DE31:DF31"/>
    <mergeCell ref="DQ38:DQ44"/>
    <mergeCell ref="BO42:BP42"/>
    <mergeCell ref="BQ42:BR42"/>
    <mergeCell ref="BS42:BT42"/>
    <mergeCell ref="BU42:BV42"/>
    <mergeCell ref="CI42:CJ42"/>
    <mergeCell ref="CK42:CL42"/>
    <mergeCell ref="CM42:CN42"/>
    <mergeCell ref="CO42:CP42"/>
    <mergeCell ref="FH42:FI42"/>
    <mergeCell ref="FJ42:FK42"/>
    <mergeCell ref="FL42:FM42"/>
    <mergeCell ref="FN42:FO42"/>
    <mergeCell ref="CI41:DF41"/>
    <mergeCell ref="DT41:EQ41"/>
    <mergeCell ref="ER41:FO41"/>
    <mergeCell ref="BG42:BH42"/>
    <mergeCell ref="BI42:BJ42"/>
    <mergeCell ref="BK42:BL42"/>
    <mergeCell ref="BM42:BN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AA42:AB42"/>
    <mergeCell ref="AC42:AD42"/>
    <mergeCell ref="B47:B53"/>
    <mergeCell ref="M47:M53"/>
    <mergeCell ref="O50:AL50"/>
    <mergeCell ref="O51:P51"/>
    <mergeCell ref="Q51:R51"/>
    <mergeCell ref="BC51:BD51"/>
    <mergeCell ref="BE51:BF51"/>
    <mergeCell ref="BG51:BH51"/>
    <mergeCell ref="BI51:BJ51"/>
    <mergeCell ref="BK51:BL51"/>
    <mergeCell ref="BM51:BN51"/>
    <mergeCell ref="BO51:BP51"/>
    <mergeCell ref="BQ51:BR51"/>
    <mergeCell ref="BS51:BT51"/>
    <mergeCell ref="BU51:BV51"/>
    <mergeCell ref="AI42:AJ42"/>
    <mergeCell ref="AK42:AL42"/>
    <mergeCell ref="AW47:AW53"/>
    <mergeCell ref="CG47:CG53"/>
    <mergeCell ref="AY50:BV50"/>
    <mergeCell ref="AI51:AJ51"/>
    <mergeCell ref="AK51:AL51"/>
    <mergeCell ref="AE42:AF42"/>
    <mergeCell ref="AG42:AH42"/>
    <mergeCell ref="O41:AL41"/>
    <mergeCell ref="O42:P42"/>
    <mergeCell ref="Q42:R42"/>
    <mergeCell ref="S42:T42"/>
    <mergeCell ref="U42:V42"/>
    <mergeCell ref="W42:X42"/>
    <mergeCell ref="Y42:Z42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Y51:AZ51"/>
    <mergeCell ref="BA51:BB51"/>
  </mergeCells>
  <conditionalFormatting sqref="AN11:AT20 AN22:AT31 AN33:AT42 AN44:AT52 AN55:AT63">
    <cfRule type="expression" dxfId="0" priority="1">
      <formula>$AN11="Squat"</formula>
    </cfRule>
  </conditionalFormatting>
  <conditionalFormatting sqref="AN11:AT20 AN22:AT31 AN33:AT42 AN44:AT52 AN55:AT63">
    <cfRule type="expression" dxfId="1" priority="2">
      <formula>$AN11="Bench"</formula>
    </cfRule>
  </conditionalFormatting>
  <conditionalFormatting sqref="AN11:AT20 AN22:AT31 AN33:AT42 AN44:AT52 AN55:AT63">
    <cfRule type="expression" dxfId="2" priority="3">
      <formula>$AN11="Deadlift"</formula>
    </cfRule>
  </conditionalFormatting>
  <conditionalFormatting sqref="BX11:CD20 BX22:CD31 BX33:CD42 BX44:CD52 BX55:CD63">
    <cfRule type="expression" dxfId="0" priority="4">
      <formula>$BX11="Squat"</formula>
    </cfRule>
  </conditionalFormatting>
  <conditionalFormatting sqref="BX11:CD20 BX22:CD31 BX33:CD42 BX44:CD52 BX55:CD63">
    <cfRule type="expression" dxfId="1" priority="5">
      <formula>$BX11="Bench"</formula>
    </cfRule>
  </conditionalFormatting>
  <conditionalFormatting sqref="BX11:CD20 BX22:CD31 BX33:CD42 BX44:CD52 BX55:CD63">
    <cfRule type="expression" dxfId="2" priority="6">
      <formula>$BX11="Deadlift"</formula>
    </cfRule>
  </conditionalFormatting>
  <conditionalFormatting sqref="DH11:DN20 DH22:DN31 DH33:DN42 DH44:DN52 DH55:DN63">
    <cfRule type="expression" dxfId="0" priority="7">
      <formula>$DH11="Squat"</formula>
    </cfRule>
  </conditionalFormatting>
  <conditionalFormatting sqref="DH11:DN20 DH22:DN31 DH33:DN42 DH44:DN52 DH55:DN63">
    <cfRule type="expression" dxfId="1" priority="8">
      <formula>$DH11="Bench"</formula>
    </cfRule>
  </conditionalFormatting>
  <conditionalFormatting sqref="DH11:DN20 DH22:DN31 DH33:DN42 DH44:DN52 DH55:DN63">
    <cfRule type="expression" dxfId="2" priority="9">
      <formula>$DH11="Deadlift"</formula>
    </cfRule>
  </conditionalFormatting>
  <conditionalFormatting sqref="D11:J19 D22:J30 CC23:CC30 D33:J41 CC33:CC41 D44:J52 CC44:CC52 D55:J63 CC55:CC63">
    <cfRule type="expression" dxfId="0" priority="10">
      <formula>$D11="Squat"</formula>
    </cfRule>
  </conditionalFormatting>
  <conditionalFormatting sqref="D11:J19 D22:J30 CC23:CC30 D33:J41 CC33:CC41 D44:J52 CC44:CC52 D55:J63 CC55:CC63">
    <cfRule type="expression" dxfId="1" priority="11">
      <formula>$D11="Bench"</formula>
    </cfRule>
  </conditionalFormatting>
  <conditionalFormatting sqref="D11:J19 D22:J30 CC23:CC30 D33:J41 CC33:CC41 D44:J52 CC44:CC52 D55:J63 CC55:CC63">
    <cfRule type="expression" dxfId="2" priority="12">
      <formula>$D11="Deadlift"</formula>
    </cfRule>
  </conditionalFormatting>
  <conditionalFormatting sqref="A4">
    <cfRule type="notContainsBlanks" dxfId="3" priority="13">
      <formula>LEN(TRIM(A4))&gt;0</formula>
    </cfRule>
  </conditionalFormatting>
  <dataValidations>
    <dataValidation type="list" allowBlank="1" sqref="D11:D53 AN11:AN53 BX11:BX53 DH11:DH53 D55:D63 AN55:AN63 BX55:BX63 DH55:DH63">
      <formula1>"Squat,Bench,Deadlift,Renfo"</formula1>
    </dataValidation>
    <dataValidation type="list" allowBlank="1" sqref="E11:E53 AO11:AO53 BY11:BY53 DI11:DI53 E55:E63 AO55:AO63 BY55:BY63 DI55:DI63">
      <formula1>"pecs,dos,épaules,biceps,triceps,quads,ischios,fessier,mollets"</formula1>
    </dataValidation>
    <dataValidation type="list" allowBlank="1" showErrorMessage="1" sqref="K11:K53 AU11:AU53 CE11:CE53 DO11:DO53 K55:K63 AU55:AU63 CE55:CE63 DO55:DO63">
      <formula1>'RPE vs. %'!$A$2:$A$12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1" max="1" width="12.63"/>
  </cols>
  <sheetData>
    <row r="1">
      <c r="A1" s="146" t="s">
        <v>30</v>
      </c>
      <c r="B1" s="147" t="s">
        <v>63</v>
      </c>
      <c r="C1" s="148"/>
      <c r="D1" s="149" t="s">
        <v>64</v>
      </c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>
      <c r="A2" s="146">
        <v>5.0</v>
      </c>
      <c r="B2" s="152"/>
      <c r="D2" s="150"/>
      <c r="E2" s="150"/>
      <c r="F2" s="150"/>
      <c r="G2" s="150"/>
      <c r="H2" s="150"/>
      <c r="I2" s="153"/>
      <c r="J2" s="154" t="s">
        <v>65</v>
      </c>
      <c r="K2" s="150"/>
      <c r="L2" s="150"/>
      <c r="M2" s="150"/>
      <c r="N2" s="150"/>
      <c r="O2" s="150"/>
      <c r="P2" s="150"/>
      <c r="Q2" s="151"/>
      <c r="R2" s="151"/>
      <c r="S2" s="151"/>
      <c r="T2" s="151"/>
      <c r="U2" s="151"/>
      <c r="V2" s="151"/>
      <c r="W2" s="151"/>
      <c r="X2" s="151"/>
      <c r="Y2" s="151"/>
      <c r="Z2" s="151"/>
    </row>
    <row r="3">
      <c r="A3" s="146">
        <v>5.5</v>
      </c>
      <c r="B3" s="152"/>
      <c r="D3" s="155" t="s">
        <v>66</v>
      </c>
      <c r="E3" s="156" t="s">
        <v>67</v>
      </c>
      <c r="F3" s="156" t="s">
        <v>68</v>
      </c>
      <c r="G3" s="156" t="s">
        <v>69</v>
      </c>
      <c r="H3" s="156" t="s">
        <v>70</v>
      </c>
      <c r="I3" s="156" t="s">
        <v>71</v>
      </c>
      <c r="J3" s="156" t="s">
        <v>72</v>
      </c>
      <c r="K3" s="156" t="s">
        <v>73</v>
      </c>
      <c r="L3" s="156" t="s">
        <v>74</v>
      </c>
      <c r="M3" s="156" t="s">
        <v>75</v>
      </c>
      <c r="N3" s="156" t="s">
        <v>76</v>
      </c>
      <c r="O3" s="156" t="s">
        <v>77</v>
      </c>
      <c r="P3" s="156" t="s">
        <v>78</v>
      </c>
      <c r="Q3" s="151"/>
      <c r="R3" s="151"/>
      <c r="S3" s="151"/>
      <c r="T3" s="151"/>
      <c r="U3" s="151"/>
      <c r="V3" s="151"/>
      <c r="W3" s="151"/>
      <c r="X3" s="151"/>
      <c r="Y3" s="151"/>
      <c r="Z3" s="151"/>
    </row>
    <row r="4">
      <c r="A4" s="146">
        <v>6.0</v>
      </c>
      <c r="B4" s="152"/>
      <c r="D4" s="155">
        <v>10.0</v>
      </c>
      <c r="E4" s="157">
        <v>1.0</v>
      </c>
      <c r="F4" s="157">
        <v>0.955</v>
      </c>
      <c r="G4" s="157">
        <v>0.922</v>
      </c>
      <c r="H4" s="157">
        <v>0.892</v>
      </c>
      <c r="I4" s="157">
        <v>0.863</v>
      </c>
      <c r="J4" s="157">
        <v>0.837</v>
      </c>
      <c r="K4" s="157">
        <v>0.811</v>
      </c>
      <c r="L4" s="157">
        <v>0.786</v>
      </c>
      <c r="M4" s="157">
        <v>0.762</v>
      </c>
      <c r="N4" s="157">
        <v>0.739</v>
      </c>
      <c r="O4" s="157">
        <v>0.707</v>
      </c>
      <c r="P4" s="157">
        <v>0.68</v>
      </c>
      <c r="Q4" s="151"/>
      <c r="R4" s="151"/>
      <c r="S4" s="151"/>
      <c r="T4" s="151"/>
      <c r="U4" s="151"/>
      <c r="V4" s="151"/>
      <c r="W4" s="151"/>
      <c r="X4" s="151"/>
      <c r="Y4" s="151"/>
      <c r="Z4" s="151"/>
    </row>
    <row r="5">
      <c r="A5" s="146">
        <v>6.5</v>
      </c>
      <c r="B5" s="152"/>
      <c r="D5" s="155">
        <v>9.5</v>
      </c>
      <c r="E5" s="158">
        <v>0.978</v>
      </c>
      <c r="F5" s="158">
        <v>0.939</v>
      </c>
      <c r="G5" s="158">
        <v>0.907</v>
      </c>
      <c r="H5" s="158">
        <v>0.878</v>
      </c>
      <c r="I5" s="158">
        <v>0.85</v>
      </c>
      <c r="J5" s="158">
        <v>0.824</v>
      </c>
      <c r="K5" s="158">
        <v>0.799</v>
      </c>
      <c r="L5" s="158">
        <v>0.774</v>
      </c>
      <c r="M5" s="158">
        <v>0.751</v>
      </c>
      <c r="N5" s="158">
        <v>0.723</v>
      </c>
      <c r="O5" s="158">
        <v>0.694</v>
      </c>
      <c r="P5" s="158">
        <v>0.667</v>
      </c>
      <c r="Q5" s="151"/>
      <c r="R5" s="151"/>
      <c r="S5" s="151"/>
      <c r="T5" s="151"/>
      <c r="U5" s="151"/>
      <c r="V5" s="151"/>
      <c r="W5" s="151"/>
      <c r="X5" s="151"/>
      <c r="Y5" s="151"/>
      <c r="Z5" s="151"/>
    </row>
    <row r="6">
      <c r="A6" s="146">
        <v>7.0</v>
      </c>
      <c r="B6" s="152"/>
      <c r="D6" s="155">
        <v>9.0</v>
      </c>
      <c r="E6" s="157">
        <v>0.955</v>
      </c>
      <c r="F6" s="157">
        <v>0.922</v>
      </c>
      <c r="G6" s="157">
        <v>0.892</v>
      </c>
      <c r="H6" s="157">
        <v>0.863</v>
      </c>
      <c r="I6" s="157">
        <v>0.837</v>
      </c>
      <c r="J6" s="157">
        <v>0.811</v>
      </c>
      <c r="K6" s="157">
        <v>0.786</v>
      </c>
      <c r="L6" s="157">
        <v>0.762</v>
      </c>
      <c r="M6" s="157">
        <v>0.739</v>
      </c>
      <c r="N6" s="157">
        <v>0.707</v>
      </c>
      <c r="O6" s="157">
        <v>0.68</v>
      </c>
      <c r="P6" s="157">
        <v>0.653</v>
      </c>
      <c r="Q6" s="151"/>
      <c r="R6" s="151"/>
      <c r="S6" s="151"/>
      <c r="T6" s="151"/>
      <c r="U6" s="151"/>
      <c r="V6" s="151"/>
      <c r="W6" s="151"/>
      <c r="X6" s="151"/>
      <c r="Y6" s="151"/>
      <c r="Z6" s="151"/>
    </row>
    <row r="7">
      <c r="A7" s="146">
        <v>7.5</v>
      </c>
      <c r="B7" s="152"/>
      <c r="D7" s="155">
        <v>8.5</v>
      </c>
      <c r="E7" s="158">
        <v>0.939</v>
      </c>
      <c r="F7" s="158">
        <v>0.907</v>
      </c>
      <c r="G7" s="158">
        <v>0.878</v>
      </c>
      <c r="H7" s="158">
        <v>0.85</v>
      </c>
      <c r="I7" s="158">
        <v>0.824</v>
      </c>
      <c r="J7" s="158">
        <v>0.799</v>
      </c>
      <c r="K7" s="158">
        <v>0.774</v>
      </c>
      <c r="L7" s="158">
        <v>0.751</v>
      </c>
      <c r="M7" s="158">
        <v>0.723</v>
      </c>
      <c r="N7" s="158">
        <v>0.694</v>
      </c>
      <c r="O7" s="158">
        <v>0.667</v>
      </c>
      <c r="P7" s="158">
        <v>0.64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</row>
    <row r="8">
      <c r="A8" s="146">
        <v>8.0</v>
      </c>
      <c r="B8" s="152"/>
      <c r="D8" s="155">
        <v>8.0</v>
      </c>
      <c r="E8" s="157">
        <v>0.922</v>
      </c>
      <c r="F8" s="157">
        <v>0.892</v>
      </c>
      <c r="G8" s="157">
        <v>0.863</v>
      </c>
      <c r="H8" s="157">
        <v>0.837</v>
      </c>
      <c r="I8" s="157">
        <v>0.811</v>
      </c>
      <c r="J8" s="157">
        <v>0.786</v>
      </c>
      <c r="K8" s="157">
        <v>0.762</v>
      </c>
      <c r="L8" s="157">
        <v>0.739</v>
      </c>
      <c r="M8" s="157">
        <v>0.707</v>
      </c>
      <c r="N8" s="157">
        <v>0.68</v>
      </c>
      <c r="O8" s="157">
        <v>0.653</v>
      </c>
      <c r="P8" s="157">
        <v>0.626</v>
      </c>
      <c r="Q8" s="151"/>
      <c r="R8" s="151"/>
      <c r="S8" s="151"/>
      <c r="T8" s="151"/>
      <c r="U8" s="151"/>
      <c r="V8" s="151"/>
      <c r="W8" s="151"/>
      <c r="X8" s="151"/>
      <c r="Y8" s="151"/>
      <c r="Z8" s="151"/>
    </row>
    <row r="9">
      <c r="A9" s="146">
        <v>8.5</v>
      </c>
      <c r="B9" s="152"/>
      <c r="D9" s="155">
        <v>7.5</v>
      </c>
      <c r="E9" s="158">
        <v>0.907</v>
      </c>
      <c r="F9" s="158">
        <v>0.878</v>
      </c>
      <c r="G9" s="158">
        <v>0.85</v>
      </c>
      <c r="H9" s="158">
        <v>0.824</v>
      </c>
      <c r="I9" s="158">
        <v>0.799</v>
      </c>
      <c r="J9" s="158">
        <v>0.774</v>
      </c>
      <c r="K9" s="158">
        <v>0.751</v>
      </c>
      <c r="L9" s="158">
        <v>0.723</v>
      </c>
      <c r="M9" s="158">
        <v>0.694</v>
      </c>
      <c r="N9" s="158">
        <v>0.667</v>
      </c>
      <c r="O9" s="158">
        <v>0.64</v>
      </c>
      <c r="P9" s="158">
        <v>0.613</v>
      </c>
      <c r="Q9" s="151"/>
      <c r="R9" s="151"/>
      <c r="S9" s="151"/>
      <c r="T9" s="151"/>
      <c r="U9" s="151"/>
      <c r="V9" s="151"/>
      <c r="W9" s="151"/>
      <c r="X9" s="151"/>
      <c r="Y9" s="151"/>
      <c r="Z9" s="151"/>
    </row>
    <row r="10">
      <c r="A10" s="146">
        <v>9.0</v>
      </c>
      <c r="B10" s="152"/>
      <c r="D10" s="155">
        <v>7.0</v>
      </c>
      <c r="E10" s="157">
        <v>0.892</v>
      </c>
      <c r="F10" s="157">
        <v>0.863</v>
      </c>
      <c r="G10" s="157">
        <v>0.837</v>
      </c>
      <c r="H10" s="157">
        <v>0.811</v>
      </c>
      <c r="I10" s="157">
        <v>0.786</v>
      </c>
      <c r="J10" s="157">
        <v>0.762</v>
      </c>
      <c r="K10" s="157">
        <v>0.739</v>
      </c>
      <c r="L10" s="157">
        <v>0.707</v>
      </c>
      <c r="M10" s="157">
        <v>0.68</v>
      </c>
      <c r="N10" s="157">
        <v>0.653</v>
      </c>
      <c r="O10" s="157">
        <v>0.626</v>
      </c>
      <c r="P10" s="157">
        <v>0.599</v>
      </c>
      <c r="Q10" s="151"/>
      <c r="R10" s="151"/>
      <c r="S10" s="151"/>
      <c r="T10" s="151"/>
      <c r="U10" s="151"/>
      <c r="V10" s="151"/>
      <c r="W10" s="151"/>
      <c r="X10" s="151"/>
      <c r="Y10" s="151"/>
      <c r="Z10" s="151"/>
    </row>
    <row r="11">
      <c r="A11" s="146">
        <v>9.5</v>
      </c>
      <c r="B11" s="152"/>
      <c r="D11" s="155">
        <v>6.5</v>
      </c>
      <c r="E11" s="158">
        <v>0.878</v>
      </c>
      <c r="F11" s="158">
        <v>0.85</v>
      </c>
      <c r="G11" s="158">
        <v>0.824</v>
      </c>
      <c r="H11" s="158">
        <v>0.799</v>
      </c>
      <c r="I11" s="158">
        <v>0.774</v>
      </c>
      <c r="J11" s="158">
        <v>0.751</v>
      </c>
      <c r="K11" s="158">
        <v>0.723</v>
      </c>
      <c r="L11" s="158">
        <v>0.694</v>
      </c>
      <c r="M11" s="158">
        <v>0.667</v>
      </c>
      <c r="N11" s="158">
        <v>0.64</v>
      </c>
      <c r="O11" s="158">
        <v>0.613</v>
      </c>
      <c r="P11" s="158">
        <v>0.586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</row>
    <row r="12">
      <c r="A12" s="146">
        <v>10.0</v>
      </c>
      <c r="B12" s="152"/>
      <c r="D12" s="150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1"/>
      <c r="R12" s="151"/>
      <c r="S12" s="151"/>
      <c r="T12" s="151"/>
      <c r="U12" s="151"/>
      <c r="V12" s="151"/>
      <c r="W12" s="151"/>
      <c r="X12" s="151"/>
      <c r="Y12" s="151"/>
      <c r="Z12" s="151"/>
    </row>
    <row r="13">
      <c r="A13" s="151"/>
      <c r="B13" s="151"/>
      <c r="C13" s="160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</row>
    <row r="14">
      <c r="A14" s="151"/>
      <c r="B14" s="151"/>
      <c r="C14" s="160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</row>
    <row r="15">
      <c r="A15" s="151"/>
      <c r="B15" s="151"/>
      <c r="C15" s="160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</row>
    <row r="16">
      <c r="A16" s="151"/>
      <c r="B16" s="151"/>
      <c r="C16" s="160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</row>
    <row r="17">
      <c r="A17" s="151"/>
      <c r="B17" s="151"/>
      <c r="C17" s="160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</row>
    <row r="18">
      <c r="A18" s="151"/>
      <c r="B18" s="151"/>
      <c r="C18" s="160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</row>
    <row r="19">
      <c r="A19" s="151"/>
      <c r="B19" s="151"/>
      <c r="C19" s="160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</row>
    <row r="20">
      <c r="A20" s="151"/>
      <c r="B20" s="151"/>
      <c r="C20" s="160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</row>
    <row r="21">
      <c r="A21" s="151"/>
      <c r="B21" s="151"/>
      <c r="C21" s="160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</row>
    <row r="22">
      <c r="A22" s="151"/>
      <c r="B22" s="151"/>
      <c r="C22" s="160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</row>
    <row r="23">
      <c r="A23" s="151"/>
      <c r="B23" s="151"/>
      <c r="C23" s="160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</row>
    <row r="24">
      <c r="A24" s="151"/>
      <c r="B24" s="151"/>
      <c r="C24" s="160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</row>
    <row r="25">
      <c r="A25" s="151"/>
      <c r="B25" s="151"/>
      <c r="C25" s="160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</row>
    <row r="26">
      <c r="A26" s="151"/>
      <c r="B26" s="151"/>
      <c r="C26" s="160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</row>
    <row r="27">
      <c r="A27" s="151"/>
      <c r="B27" s="151"/>
      <c r="C27" s="160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</row>
    <row r="28">
      <c r="A28" s="151"/>
      <c r="B28" s="151"/>
      <c r="C28" s="160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</row>
    <row r="29">
      <c r="A29" s="151"/>
      <c r="B29" s="151"/>
      <c r="C29" s="160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</row>
    <row r="30">
      <c r="A30" s="151"/>
      <c r="B30" s="151"/>
      <c r="C30" s="160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</row>
    <row r="31">
      <c r="A31" s="151"/>
      <c r="B31" s="151"/>
      <c r="C31" s="160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</row>
    <row r="32">
      <c r="A32" s="151"/>
      <c r="B32" s="151"/>
      <c r="C32" s="160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</row>
    <row r="33">
      <c r="A33" s="151"/>
      <c r="B33" s="151"/>
      <c r="C33" s="160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</row>
    <row r="34">
      <c r="A34" s="151"/>
      <c r="B34" s="151"/>
      <c r="C34" s="160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</row>
    <row r="35">
      <c r="A35" s="151"/>
      <c r="B35" s="151"/>
      <c r="C35" s="160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</row>
    <row r="36">
      <c r="A36" s="151"/>
      <c r="B36" s="151"/>
      <c r="C36" s="160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</row>
    <row r="37">
      <c r="A37" s="151"/>
      <c r="B37" s="151"/>
      <c r="C37" s="160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>
      <c r="A38" s="151"/>
      <c r="B38" s="151"/>
      <c r="C38" s="160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</row>
    <row r="39">
      <c r="A39" s="151"/>
      <c r="B39" s="151"/>
      <c r="C39" s="160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>
      <c r="A40" s="151"/>
      <c r="B40" s="151"/>
      <c r="C40" s="160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>
      <c r="A41" s="151"/>
      <c r="B41" s="151"/>
      <c r="C41" s="160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2">
      <c r="A42" s="151"/>
      <c r="B42" s="151"/>
      <c r="C42" s="160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>
      <c r="A43" s="151"/>
      <c r="B43" s="151"/>
      <c r="C43" s="160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</row>
    <row r="44">
      <c r="A44" s="151"/>
      <c r="B44" s="151"/>
      <c r="C44" s="160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</row>
    <row r="45">
      <c r="A45" s="151"/>
      <c r="B45" s="151"/>
      <c r="C45" s="160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</row>
    <row r="46">
      <c r="A46" s="151"/>
      <c r="B46" s="151"/>
      <c r="C46" s="160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</row>
    <row r="47">
      <c r="A47" s="151"/>
      <c r="B47" s="151"/>
      <c r="C47" s="160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</row>
    <row r="48">
      <c r="A48" s="151"/>
      <c r="B48" s="151"/>
      <c r="C48" s="160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</row>
    <row r="49">
      <c r="A49" s="151"/>
      <c r="B49" s="151"/>
      <c r="C49" s="160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</row>
    <row r="50">
      <c r="A50" s="151"/>
      <c r="B50" s="151"/>
      <c r="C50" s="160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>
      <c r="A51" s="151"/>
      <c r="B51" s="151"/>
      <c r="C51" s="160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</row>
    <row r="52">
      <c r="A52" s="151"/>
      <c r="B52" s="151"/>
      <c r="C52" s="160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</row>
    <row r="53">
      <c r="A53" s="151"/>
      <c r="B53" s="151"/>
      <c r="C53" s="160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</row>
    <row r="54">
      <c r="A54" s="151"/>
      <c r="B54" s="151"/>
      <c r="C54" s="160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</row>
    <row r="55">
      <c r="A55" s="151"/>
      <c r="B55" s="151"/>
      <c r="C55" s="160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</row>
    <row r="56">
      <c r="A56" s="151"/>
      <c r="B56" s="151"/>
      <c r="C56" s="160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</row>
    <row r="57">
      <c r="A57" s="151"/>
      <c r="B57" s="151"/>
      <c r="C57" s="160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</row>
    <row r="58">
      <c r="A58" s="151"/>
      <c r="B58" s="151"/>
      <c r="C58" s="160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</row>
    <row r="59">
      <c r="A59" s="151"/>
      <c r="B59" s="151"/>
      <c r="C59" s="160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>
      <c r="A60" s="151"/>
      <c r="B60" s="151"/>
      <c r="C60" s="160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</row>
    <row r="61">
      <c r="A61" s="151"/>
      <c r="B61" s="151"/>
      <c r="C61" s="160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</row>
    <row r="62">
      <c r="A62" s="151"/>
      <c r="B62" s="151"/>
      <c r="C62" s="160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</row>
    <row r="63">
      <c r="A63" s="151"/>
      <c r="B63" s="151"/>
      <c r="C63" s="160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</row>
    <row r="64">
      <c r="A64" s="151"/>
      <c r="B64" s="151"/>
      <c r="C64" s="160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</row>
    <row r="65">
      <c r="A65" s="151"/>
      <c r="B65" s="151"/>
      <c r="C65" s="160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</row>
    <row r="66">
      <c r="A66" s="151"/>
      <c r="B66" s="151"/>
      <c r="C66" s="160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</row>
    <row r="67">
      <c r="A67" s="151"/>
      <c r="B67" s="151"/>
      <c r="C67" s="160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</row>
    <row r="68">
      <c r="A68" s="151"/>
      <c r="B68" s="151"/>
      <c r="C68" s="160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</row>
    <row r="69">
      <c r="A69" s="151"/>
      <c r="B69" s="151"/>
      <c r="C69" s="160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</row>
    <row r="70">
      <c r="A70" s="151"/>
      <c r="B70" s="151"/>
      <c r="C70" s="160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</row>
    <row r="71">
      <c r="A71" s="151"/>
      <c r="B71" s="151"/>
      <c r="C71" s="160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</row>
    <row r="72">
      <c r="A72" s="151"/>
      <c r="B72" s="151"/>
      <c r="C72" s="160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</row>
    <row r="73">
      <c r="A73" s="151"/>
      <c r="B73" s="151"/>
      <c r="C73" s="160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>
      <c r="A74" s="151"/>
      <c r="B74" s="151"/>
      <c r="C74" s="160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</row>
    <row r="75">
      <c r="A75" s="151"/>
      <c r="B75" s="151"/>
      <c r="C75" s="160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>
      <c r="A76" s="151"/>
      <c r="B76" s="151"/>
      <c r="C76" s="160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>
      <c r="A77" s="151"/>
      <c r="B77" s="151"/>
      <c r="C77" s="160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>
      <c r="A78" s="151"/>
      <c r="B78" s="151"/>
      <c r="C78" s="160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>
      <c r="A79" s="151"/>
      <c r="B79" s="151"/>
      <c r="C79" s="160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>
      <c r="A80" s="151"/>
      <c r="B80" s="151"/>
      <c r="C80" s="160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>
      <c r="A81" s="151"/>
      <c r="B81" s="151"/>
      <c r="C81" s="160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>
      <c r="A82" s="151"/>
      <c r="B82" s="151"/>
      <c r="C82" s="160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>
      <c r="A83" s="151"/>
      <c r="B83" s="151"/>
      <c r="C83" s="160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>
      <c r="A84" s="151"/>
      <c r="B84" s="151"/>
      <c r="C84" s="160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>
      <c r="A85" s="151"/>
      <c r="B85" s="151"/>
      <c r="C85" s="160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>
      <c r="A86" s="151"/>
      <c r="B86" s="151"/>
      <c r="C86" s="160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>
      <c r="A87" s="151"/>
      <c r="B87" s="151"/>
      <c r="C87" s="160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>
      <c r="A88" s="151"/>
      <c r="B88" s="151"/>
      <c r="C88" s="160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>
      <c r="A89" s="151"/>
      <c r="B89" s="151"/>
      <c r="C89" s="160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>
      <c r="A90" s="151"/>
      <c r="B90" s="151"/>
      <c r="C90" s="160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>
      <c r="A91" s="151"/>
      <c r="B91" s="151"/>
      <c r="C91" s="160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>
      <c r="A92" s="151"/>
      <c r="B92" s="151"/>
      <c r="C92" s="160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>
      <c r="A93" s="151"/>
      <c r="B93" s="151"/>
      <c r="C93" s="160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>
      <c r="A94" s="151"/>
      <c r="B94" s="151"/>
      <c r="C94" s="160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>
      <c r="A95" s="151"/>
      <c r="B95" s="151"/>
      <c r="C95" s="160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>
      <c r="A96" s="151"/>
      <c r="B96" s="151"/>
      <c r="C96" s="160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>
      <c r="A97" s="151"/>
      <c r="B97" s="151"/>
      <c r="C97" s="160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>
      <c r="A98" s="151"/>
      <c r="B98" s="151"/>
      <c r="C98" s="160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>
      <c r="A99" s="151"/>
      <c r="B99" s="151"/>
      <c r="C99" s="160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>
      <c r="A100" s="151"/>
      <c r="B100" s="151"/>
      <c r="C100" s="160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>
      <c r="A101" s="151"/>
      <c r="B101" s="151"/>
      <c r="C101" s="160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>
      <c r="A102" s="151"/>
      <c r="B102" s="151"/>
      <c r="C102" s="160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>
      <c r="A103" s="151"/>
      <c r="B103" s="151"/>
      <c r="C103" s="160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>
      <c r="A104" s="151"/>
      <c r="B104" s="151"/>
      <c r="C104" s="160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>
      <c r="A105" s="151"/>
      <c r="B105" s="151"/>
      <c r="C105" s="160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>
      <c r="A106" s="151"/>
      <c r="B106" s="151"/>
      <c r="C106" s="160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>
      <c r="A107" s="151"/>
      <c r="B107" s="151"/>
      <c r="C107" s="160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>
      <c r="A108" s="151"/>
      <c r="B108" s="151"/>
      <c r="C108" s="160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>
      <c r="A109" s="151"/>
      <c r="B109" s="151"/>
      <c r="C109" s="160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>
      <c r="A110" s="151"/>
      <c r="B110" s="151"/>
      <c r="C110" s="160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>
      <c r="A111" s="151"/>
      <c r="B111" s="151"/>
      <c r="C111" s="160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>
      <c r="A112" s="151"/>
      <c r="B112" s="151"/>
      <c r="C112" s="160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>
      <c r="A113" s="151"/>
      <c r="B113" s="151"/>
      <c r="C113" s="160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>
      <c r="A114" s="151"/>
      <c r="B114" s="151"/>
      <c r="C114" s="160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>
      <c r="A115" s="151"/>
      <c r="B115" s="151"/>
      <c r="C115" s="160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>
      <c r="A116" s="151"/>
      <c r="B116" s="151"/>
      <c r="C116" s="160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>
      <c r="A117" s="151"/>
      <c r="B117" s="151"/>
      <c r="C117" s="160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>
      <c r="A118" s="151"/>
      <c r="B118" s="151"/>
      <c r="C118" s="160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>
      <c r="A119" s="151"/>
      <c r="B119" s="151"/>
      <c r="C119" s="160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>
      <c r="A120" s="151"/>
      <c r="B120" s="151"/>
      <c r="C120" s="160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>
      <c r="A121" s="151"/>
      <c r="B121" s="151"/>
      <c r="C121" s="160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>
      <c r="A122" s="151"/>
      <c r="B122" s="151"/>
      <c r="C122" s="160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>
      <c r="A123" s="151"/>
      <c r="B123" s="151"/>
      <c r="C123" s="160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>
      <c r="A124" s="151"/>
      <c r="B124" s="151"/>
      <c r="C124" s="160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>
      <c r="A125" s="151"/>
      <c r="B125" s="151"/>
      <c r="C125" s="160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>
      <c r="A126" s="151"/>
      <c r="B126" s="151"/>
      <c r="C126" s="160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>
      <c r="A127" s="151"/>
      <c r="B127" s="151"/>
      <c r="C127" s="160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>
      <c r="A128" s="151"/>
      <c r="B128" s="151"/>
      <c r="C128" s="160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>
      <c r="A129" s="151"/>
      <c r="B129" s="151"/>
      <c r="C129" s="160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>
      <c r="A130" s="151"/>
      <c r="B130" s="151"/>
      <c r="C130" s="160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>
      <c r="A131" s="151"/>
      <c r="B131" s="151"/>
      <c r="C131" s="160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>
      <c r="A132" s="151"/>
      <c r="B132" s="151"/>
      <c r="C132" s="160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>
      <c r="A133" s="151"/>
      <c r="B133" s="151"/>
      <c r="C133" s="160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>
      <c r="A134" s="151"/>
      <c r="B134" s="151"/>
      <c r="C134" s="160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>
      <c r="A135" s="151"/>
      <c r="B135" s="151"/>
      <c r="C135" s="160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>
      <c r="A136" s="151"/>
      <c r="B136" s="151"/>
      <c r="C136" s="160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>
      <c r="A137" s="151"/>
      <c r="B137" s="151"/>
      <c r="C137" s="160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>
      <c r="A138" s="151"/>
      <c r="B138" s="151"/>
      <c r="C138" s="160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>
      <c r="A139" s="151"/>
      <c r="B139" s="151"/>
      <c r="C139" s="160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>
      <c r="A140" s="151"/>
      <c r="B140" s="151"/>
      <c r="C140" s="160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>
      <c r="A141" s="151"/>
      <c r="B141" s="151"/>
      <c r="C141" s="160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>
      <c r="A142" s="151"/>
      <c r="B142" s="151"/>
      <c r="C142" s="160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>
      <c r="A143" s="151"/>
      <c r="B143" s="151"/>
      <c r="C143" s="160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>
      <c r="A144" s="151"/>
      <c r="B144" s="151"/>
      <c r="C144" s="160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>
      <c r="A145" s="151"/>
      <c r="B145" s="151"/>
      <c r="C145" s="160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>
      <c r="A146" s="151"/>
      <c r="B146" s="151"/>
      <c r="C146" s="160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>
      <c r="A147" s="151"/>
      <c r="B147" s="151"/>
      <c r="C147" s="160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>
      <c r="A148" s="151"/>
      <c r="B148" s="151"/>
      <c r="C148" s="160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>
      <c r="A149" s="151"/>
      <c r="B149" s="151"/>
      <c r="C149" s="160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>
      <c r="A150" s="151"/>
      <c r="B150" s="151"/>
      <c r="C150" s="160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>
      <c r="A151" s="151"/>
      <c r="B151" s="151"/>
      <c r="C151" s="160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>
      <c r="A152" s="151"/>
      <c r="B152" s="151"/>
      <c r="C152" s="160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>
      <c r="A153" s="151"/>
      <c r="B153" s="151"/>
      <c r="C153" s="160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>
      <c r="A154" s="151"/>
      <c r="B154" s="151"/>
      <c r="C154" s="160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>
      <c r="A155" s="151"/>
      <c r="B155" s="151"/>
      <c r="C155" s="160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>
      <c r="A156" s="151"/>
      <c r="B156" s="151"/>
      <c r="C156" s="160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>
      <c r="A157" s="151"/>
      <c r="B157" s="151"/>
      <c r="C157" s="160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>
      <c r="A158" s="151"/>
      <c r="B158" s="151"/>
      <c r="C158" s="160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>
      <c r="A159" s="151"/>
      <c r="B159" s="151"/>
      <c r="C159" s="160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>
      <c r="A160" s="151"/>
      <c r="B160" s="151"/>
      <c r="C160" s="160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>
      <c r="A161" s="151"/>
      <c r="B161" s="151"/>
      <c r="C161" s="160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>
      <c r="A162" s="151"/>
      <c r="B162" s="151"/>
      <c r="C162" s="160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>
      <c r="A163" s="151"/>
      <c r="B163" s="151"/>
      <c r="C163" s="160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>
      <c r="A164" s="151"/>
      <c r="B164" s="151"/>
      <c r="C164" s="160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>
      <c r="A165" s="151"/>
      <c r="B165" s="151"/>
      <c r="C165" s="160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>
      <c r="A166" s="151"/>
      <c r="B166" s="151"/>
      <c r="C166" s="160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>
      <c r="A167" s="151"/>
      <c r="B167" s="151"/>
      <c r="C167" s="160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>
      <c r="A168" s="151"/>
      <c r="B168" s="151"/>
      <c r="C168" s="160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>
      <c r="A169" s="151"/>
      <c r="B169" s="151"/>
      <c r="C169" s="160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>
      <c r="A170" s="151"/>
      <c r="B170" s="151"/>
      <c r="C170" s="160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>
      <c r="A171" s="151"/>
      <c r="B171" s="151"/>
      <c r="C171" s="160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>
      <c r="A172" s="151"/>
      <c r="B172" s="151"/>
      <c r="C172" s="160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>
      <c r="A173" s="151"/>
      <c r="B173" s="151"/>
      <c r="C173" s="160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>
      <c r="A174" s="151"/>
      <c r="B174" s="151"/>
      <c r="C174" s="160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>
      <c r="A175" s="151"/>
      <c r="B175" s="151"/>
      <c r="C175" s="160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>
      <c r="A176" s="151"/>
      <c r="B176" s="151"/>
      <c r="C176" s="160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>
      <c r="A177" s="151"/>
      <c r="B177" s="151"/>
      <c r="C177" s="160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>
      <c r="A178" s="151"/>
      <c r="B178" s="151"/>
      <c r="C178" s="160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>
      <c r="A179" s="151"/>
      <c r="B179" s="151"/>
      <c r="C179" s="160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>
      <c r="A180" s="151"/>
      <c r="B180" s="151"/>
      <c r="C180" s="160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>
      <c r="A181" s="151"/>
      <c r="B181" s="151"/>
      <c r="C181" s="160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>
      <c r="A182" s="151"/>
      <c r="B182" s="151"/>
      <c r="C182" s="160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>
      <c r="A183" s="151"/>
      <c r="B183" s="151"/>
      <c r="C183" s="160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>
      <c r="A184" s="151"/>
      <c r="B184" s="151"/>
      <c r="C184" s="160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>
      <c r="A185" s="151"/>
      <c r="B185" s="151"/>
      <c r="C185" s="160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>
      <c r="A186" s="151"/>
      <c r="B186" s="151"/>
      <c r="C186" s="160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>
      <c r="A187" s="151"/>
      <c r="B187" s="151"/>
      <c r="C187" s="160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>
      <c r="A188" s="151"/>
      <c r="B188" s="151"/>
      <c r="C188" s="160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>
      <c r="A189" s="151"/>
      <c r="B189" s="151"/>
      <c r="C189" s="160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>
      <c r="A190" s="151"/>
      <c r="B190" s="151"/>
      <c r="C190" s="160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>
      <c r="A191" s="151"/>
      <c r="B191" s="151"/>
      <c r="C191" s="160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>
      <c r="A192" s="151"/>
      <c r="B192" s="151"/>
      <c r="C192" s="160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>
      <c r="A193" s="151"/>
      <c r="B193" s="151"/>
      <c r="C193" s="160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>
      <c r="A194" s="151"/>
      <c r="B194" s="151"/>
      <c r="C194" s="160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>
      <c r="A195" s="151"/>
      <c r="B195" s="151"/>
      <c r="C195" s="160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>
      <c r="A196" s="151"/>
      <c r="B196" s="151"/>
      <c r="C196" s="160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>
      <c r="A197" s="151"/>
      <c r="B197" s="151"/>
      <c r="C197" s="160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>
      <c r="A198" s="151"/>
      <c r="B198" s="151"/>
      <c r="C198" s="160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>
      <c r="A199" s="151"/>
      <c r="B199" s="151"/>
      <c r="C199" s="160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>
      <c r="A200" s="151"/>
      <c r="B200" s="151"/>
      <c r="C200" s="160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>
      <c r="A201" s="151"/>
      <c r="B201" s="151"/>
      <c r="C201" s="160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>
      <c r="A202" s="151"/>
      <c r="B202" s="151"/>
      <c r="C202" s="160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>
      <c r="A203" s="151"/>
      <c r="B203" s="151"/>
      <c r="C203" s="160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>
      <c r="A204" s="151"/>
      <c r="B204" s="151"/>
      <c r="C204" s="160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>
      <c r="A205" s="151"/>
      <c r="B205" s="151"/>
      <c r="C205" s="160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>
      <c r="A206" s="151"/>
      <c r="B206" s="151"/>
      <c r="C206" s="160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>
      <c r="A207" s="151"/>
      <c r="B207" s="151"/>
      <c r="C207" s="160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>
      <c r="A208" s="151"/>
      <c r="B208" s="151"/>
      <c r="C208" s="160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>
      <c r="A209" s="151"/>
      <c r="B209" s="151"/>
      <c r="C209" s="160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>
      <c r="A210" s="151"/>
      <c r="B210" s="151"/>
      <c r="C210" s="160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>
      <c r="A211" s="151"/>
      <c r="B211" s="151"/>
      <c r="C211" s="160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>
      <c r="A212" s="151"/>
      <c r="B212" s="151"/>
      <c r="C212" s="160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>
      <c r="A213" s="151"/>
      <c r="B213" s="151"/>
      <c r="C213" s="160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>
      <c r="A214" s="151"/>
      <c r="B214" s="151"/>
      <c r="C214" s="160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>
      <c r="A215" s="151"/>
      <c r="B215" s="151"/>
      <c r="C215" s="160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>
      <c r="A216" s="151"/>
      <c r="B216" s="151"/>
      <c r="C216" s="160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>
      <c r="A217" s="151"/>
      <c r="B217" s="151"/>
      <c r="C217" s="160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>
      <c r="A218" s="151"/>
      <c r="B218" s="151"/>
      <c r="C218" s="160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>
      <c r="A219" s="151"/>
      <c r="B219" s="151"/>
      <c r="C219" s="160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>
      <c r="A220" s="151"/>
      <c r="B220" s="151"/>
      <c r="C220" s="160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>
      <c r="A221" s="151"/>
      <c r="B221" s="151"/>
      <c r="C221" s="160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>
      <c r="A222" s="151"/>
      <c r="B222" s="151"/>
      <c r="C222" s="160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>
      <c r="A223" s="151"/>
      <c r="B223" s="151"/>
      <c r="C223" s="160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>
      <c r="A224" s="151"/>
      <c r="B224" s="151"/>
      <c r="C224" s="160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>
      <c r="A225" s="151"/>
      <c r="B225" s="151"/>
      <c r="C225" s="160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>
      <c r="A226" s="151"/>
      <c r="B226" s="151"/>
      <c r="C226" s="160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>
      <c r="A227" s="151"/>
      <c r="B227" s="151"/>
      <c r="C227" s="160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>
      <c r="A228" s="151"/>
      <c r="B228" s="151"/>
      <c r="C228" s="160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>
      <c r="A229" s="151"/>
      <c r="B229" s="151"/>
      <c r="C229" s="160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>
      <c r="A230" s="151"/>
      <c r="B230" s="151"/>
      <c r="C230" s="160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>
      <c r="A231" s="151"/>
      <c r="B231" s="151"/>
      <c r="C231" s="160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>
      <c r="A232" s="151"/>
      <c r="B232" s="151"/>
      <c r="C232" s="160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>
      <c r="A233" s="151"/>
      <c r="B233" s="151"/>
      <c r="C233" s="160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>
      <c r="A234" s="151"/>
      <c r="B234" s="151"/>
      <c r="C234" s="160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>
      <c r="A235" s="151"/>
      <c r="B235" s="151"/>
      <c r="C235" s="160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>
      <c r="A236" s="151"/>
      <c r="B236" s="151"/>
      <c r="C236" s="160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>
      <c r="A237" s="151"/>
      <c r="B237" s="151"/>
      <c r="C237" s="160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>
      <c r="A238" s="151"/>
      <c r="B238" s="151"/>
      <c r="C238" s="160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>
      <c r="A239" s="151"/>
      <c r="B239" s="151"/>
      <c r="C239" s="160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>
      <c r="A240" s="151"/>
      <c r="B240" s="151"/>
      <c r="C240" s="160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>
      <c r="A241" s="151"/>
      <c r="B241" s="151"/>
      <c r="C241" s="160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>
      <c r="A242" s="151"/>
      <c r="B242" s="151"/>
      <c r="C242" s="160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>
      <c r="A243" s="151"/>
      <c r="B243" s="151"/>
      <c r="C243" s="160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>
      <c r="A244" s="151"/>
      <c r="B244" s="151"/>
      <c r="C244" s="160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>
      <c r="A245" s="151"/>
      <c r="B245" s="151"/>
      <c r="C245" s="160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>
      <c r="A246" s="151"/>
      <c r="B246" s="151"/>
      <c r="C246" s="160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>
      <c r="A247" s="151"/>
      <c r="B247" s="151"/>
      <c r="C247" s="160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>
      <c r="A248" s="151"/>
      <c r="B248" s="151"/>
      <c r="C248" s="160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>
      <c r="A249" s="151"/>
      <c r="B249" s="151"/>
      <c r="C249" s="160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>
      <c r="A250" s="151"/>
      <c r="B250" s="151"/>
      <c r="C250" s="160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>
      <c r="A251" s="151"/>
      <c r="B251" s="151"/>
      <c r="C251" s="160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>
      <c r="A252" s="151"/>
      <c r="B252" s="151"/>
      <c r="C252" s="160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>
      <c r="A253" s="151"/>
      <c r="B253" s="151"/>
      <c r="C253" s="160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>
      <c r="A254" s="151"/>
      <c r="B254" s="151"/>
      <c r="C254" s="160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>
      <c r="A255" s="151"/>
      <c r="B255" s="151"/>
      <c r="C255" s="160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>
      <c r="A256" s="151"/>
      <c r="B256" s="151"/>
      <c r="C256" s="160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>
      <c r="A257" s="151"/>
      <c r="B257" s="151"/>
      <c r="C257" s="160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>
      <c r="A258" s="151"/>
      <c r="B258" s="151"/>
      <c r="C258" s="160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>
      <c r="A259" s="151"/>
      <c r="B259" s="151"/>
      <c r="C259" s="160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>
      <c r="A260" s="151"/>
      <c r="B260" s="151"/>
      <c r="C260" s="160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>
      <c r="A261" s="151"/>
      <c r="B261" s="151"/>
      <c r="C261" s="160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>
      <c r="A262" s="151"/>
      <c r="B262" s="151"/>
      <c r="C262" s="160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>
      <c r="A263" s="151"/>
      <c r="B263" s="151"/>
      <c r="C263" s="160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>
      <c r="A264" s="151"/>
      <c r="B264" s="151"/>
      <c r="C264" s="160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>
      <c r="A265" s="151"/>
      <c r="B265" s="151"/>
      <c r="C265" s="160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>
      <c r="A266" s="151"/>
      <c r="B266" s="151"/>
      <c r="C266" s="160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>
      <c r="A267" s="151"/>
      <c r="B267" s="151"/>
      <c r="C267" s="160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>
      <c r="A268" s="151"/>
      <c r="B268" s="151"/>
      <c r="C268" s="160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>
      <c r="A269" s="151"/>
      <c r="B269" s="151"/>
      <c r="C269" s="160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>
      <c r="A270" s="151"/>
      <c r="B270" s="151"/>
      <c r="C270" s="160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>
      <c r="A271" s="151"/>
      <c r="B271" s="151"/>
      <c r="C271" s="160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>
      <c r="A272" s="151"/>
      <c r="B272" s="151"/>
      <c r="C272" s="160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>
      <c r="A273" s="151"/>
      <c r="B273" s="151"/>
      <c r="C273" s="160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>
      <c r="A274" s="151"/>
      <c r="B274" s="151"/>
      <c r="C274" s="160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>
      <c r="A275" s="151"/>
      <c r="B275" s="151"/>
      <c r="C275" s="160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>
      <c r="A276" s="151"/>
      <c r="B276" s="151"/>
      <c r="C276" s="160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>
      <c r="A277" s="151"/>
      <c r="B277" s="151"/>
      <c r="C277" s="160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>
      <c r="A278" s="151"/>
      <c r="B278" s="151"/>
      <c r="C278" s="160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>
      <c r="A279" s="151"/>
      <c r="B279" s="151"/>
      <c r="C279" s="160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>
      <c r="A280" s="151"/>
      <c r="B280" s="151"/>
      <c r="C280" s="160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>
      <c r="A281" s="151"/>
      <c r="B281" s="151"/>
      <c r="C281" s="160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>
      <c r="A282" s="151"/>
      <c r="B282" s="151"/>
      <c r="C282" s="160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>
      <c r="A283" s="151"/>
      <c r="B283" s="151"/>
      <c r="C283" s="160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>
      <c r="A284" s="151"/>
      <c r="B284" s="151"/>
      <c r="C284" s="160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>
      <c r="A285" s="151"/>
      <c r="B285" s="151"/>
      <c r="C285" s="160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>
      <c r="A286" s="151"/>
      <c r="B286" s="151"/>
      <c r="C286" s="160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>
      <c r="A287" s="151"/>
      <c r="B287" s="151"/>
      <c r="C287" s="160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>
      <c r="A288" s="151"/>
      <c r="B288" s="151"/>
      <c r="C288" s="160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>
      <c r="A289" s="151"/>
      <c r="B289" s="151"/>
      <c r="C289" s="160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>
      <c r="A290" s="151"/>
      <c r="B290" s="151"/>
      <c r="C290" s="160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>
      <c r="A291" s="151"/>
      <c r="B291" s="151"/>
      <c r="C291" s="160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>
      <c r="A292" s="151"/>
      <c r="B292" s="151"/>
      <c r="C292" s="160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>
      <c r="A293" s="151"/>
      <c r="B293" s="151"/>
      <c r="C293" s="160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>
      <c r="A294" s="151"/>
      <c r="B294" s="151"/>
      <c r="C294" s="160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>
      <c r="A295" s="151"/>
      <c r="B295" s="151"/>
      <c r="C295" s="160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>
      <c r="A296" s="151"/>
      <c r="B296" s="151"/>
      <c r="C296" s="160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>
      <c r="A297" s="151"/>
      <c r="B297" s="151"/>
      <c r="C297" s="160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>
      <c r="A298" s="151"/>
      <c r="B298" s="151"/>
      <c r="C298" s="160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>
      <c r="A299" s="151"/>
      <c r="B299" s="151"/>
      <c r="C299" s="160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>
      <c r="A300" s="151"/>
      <c r="B300" s="151"/>
      <c r="C300" s="160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>
      <c r="A301" s="151"/>
      <c r="B301" s="151"/>
      <c r="C301" s="160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>
      <c r="A302" s="151"/>
      <c r="B302" s="151"/>
      <c r="C302" s="160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>
      <c r="A303" s="151"/>
      <c r="B303" s="151"/>
      <c r="C303" s="160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>
      <c r="A304" s="151"/>
      <c r="B304" s="151"/>
      <c r="C304" s="160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>
      <c r="A305" s="151"/>
      <c r="B305" s="151"/>
      <c r="C305" s="160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>
      <c r="A306" s="151"/>
      <c r="B306" s="151"/>
      <c r="C306" s="160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>
      <c r="A307" s="151"/>
      <c r="B307" s="151"/>
      <c r="C307" s="160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>
      <c r="A308" s="151"/>
      <c r="B308" s="151"/>
      <c r="C308" s="160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>
      <c r="A309" s="151"/>
      <c r="B309" s="151"/>
      <c r="C309" s="160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>
      <c r="A310" s="151"/>
      <c r="B310" s="151"/>
      <c r="C310" s="160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>
      <c r="A311" s="151"/>
      <c r="B311" s="151"/>
      <c r="C311" s="160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>
      <c r="A312" s="151"/>
      <c r="B312" s="151"/>
      <c r="C312" s="160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>
      <c r="A313" s="151"/>
      <c r="B313" s="151"/>
      <c r="C313" s="160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>
      <c r="A314" s="151"/>
      <c r="B314" s="151"/>
      <c r="C314" s="160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>
      <c r="A315" s="151"/>
      <c r="B315" s="151"/>
      <c r="C315" s="160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>
      <c r="A316" s="151"/>
      <c r="B316" s="151"/>
      <c r="C316" s="160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>
      <c r="A317" s="151"/>
      <c r="B317" s="151"/>
      <c r="C317" s="160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>
      <c r="A318" s="151"/>
      <c r="B318" s="151"/>
      <c r="C318" s="160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>
      <c r="A319" s="151"/>
      <c r="B319" s="151"/>
      <c r="C319" s="160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>
      <c r="A320" s="151"/>
      <c r="B320" s="151"/>
      <c r="C320" s="160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>
      <c r="A321" s="151"/>
      <c r="B321" s="151"/>
      <c r="C321" s="160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>
      <c r="A322" s="151"/>
      <c r="B322" s="151"/>
      <c r="C322" s="160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>
      <c r="A323" s="151"/>
      <c r="B323" s="151"/>
      <c r="C323" s="160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>
      <c r="A324" s="151"/>
      <c r="B324" s="151"/>
      <c r="C324" s="160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>
      <c r="A325" s="151"/>
      <c r="B325" s="151"/>
      <c r="C325" s="160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>
      <c r="A326" s="151"/>
      <c r="B326" s="151"/>
      <c r="C326" s="160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>
      <c r="A327" s="151"/>
      <c r="B327" s="151"/>
      <c r="C327" s="160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>
      <c r="A328" s="151"/>
      <c r="B328" s="151"/>
      <c r="C328" s="160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>
      <c r="A329" s="151"/>
      <c r="B329" s="151"/>
      <c r="C329" s="160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>
      <c r="A330" s="151"/>
      <c r="B330" s="151"/>
      <c r="C330" s="160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>
      <c r="A331" s="151"/>
      <c r="B331" s="151"/>
      <c r="C331" s="160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>
      <c r="A332" s="151"/>
      <c r="B332" s="151"/>
      <c r="C332" s="160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>
      <c r="A333" s="151"/>
      <c r="B333" s="151"/>
      <c r="C333" s="160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>
      <c r="A334" s="151"/>
      <c r="B334" s="151"/>
      <c r="C334" s="160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>
      <c r="A335" s="151"/>
      <c r="B335" s="151"/>
      <c r="C335" s="160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>
      <c r="A336" s="151"/>
      <c r="B336" s="151"/>
      <c r="C336" s="160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>
      <c r="A337" s="151"/>
      <c r="B337" s="151"/>
      <c r="C337" s="160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>
      <c r="A338" s="151"/>
      <c r="B338" s="151"/>
      <c r="C338" s="160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>
      <c r="A339" s="151"/>
      <c r="B339" s="151"/>
      <c r="C339" s="160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>
      <c r="A340" s="151"/>
      <c r="B340" s="151"/>
      <c r="C340" s="160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>
      <c r="A341" s="151"/>
      <c r="B341" s="151"/>
      <c r="C341" s="160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>
      <c r="A342" s="151"/>
      <c r="B342" s="151"/>
      <c r="C342" s="160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>
      <c r="A343" s="151"/>
      <c r="B343" s="151"/>
      <c r="C343" s="160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>
      <c r="A344" s="151"/>
      <c r="B344" s="151"/>
      <c r="C344" s="160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>
      <c r="A345" s="151"/>
      <c r="B345" s="151"/>
      <c r="C345" s="160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>
      <c r="A346" s="151"/>
      <c r="B346" s="151"/>
      <c r="C346" s="160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>
      <c r="A347" s="151"/>
      <c r="B347" s="151"/>
      <c r="C347" s="160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>
      <c r="A348" s="151"/>
      <c r="B348" s="151"/>
      <c r="C348" s="160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>
      <c r="A349" s="151"/>
      <c r="B349" s="151"/>
      <c r="C349" s="160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>
      <c r="A350" s="151"/>
      <c r="B350" s="151"/>
      <c r="C350" s="160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>
      <c r="A351" s="151"/>
      <c r="B351" s="151"/>
      <c r="C351" s="160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>
      <c r="A352" s="151"/>
      <c r="B352" s="151"/>
      <c r="C352" s="160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>
      <c r="A353" s="151"/>
      <c r="B353" s="151"/>
      <c r="C353" s="160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>
      <c r="A354" s="151"/>
      <c r="B354" s="151"/>
      <c r="C354" s="160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>
      <c r="A355" s="151"/>
      <c r="B355" s="151"/>
      <c r="C355" s="160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>
      <c r="A356" s="151"/>
      <c r="B356" s="151"/>
      <c r="C356" s="160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>
      <c r="A357" s="151"/>
      <c r="B357" s="151"/>
      <c r="C357" s="160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>
      <c r="A358" s="151"/>
      <c r="B358" s="151"/>
      <c r="C358" s="160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>
      <c r="A359" s="151"/>
      <c r="B359" s="151"/>
      <c r="C359" s="160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>
      <c r="A360" s="151"/>
      <c r="B360" s="151"/>
      <c r="C360" s="160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>
      <c r="A361" s="151"/>
      <c r="B361" s="151"/>
      <c r="C361" s="160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>
      <c r="A362" s="151"/>
      <c r="B362" s="151"/>
      <c r="C362" s="160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>
      <c r="A363" s="151"/>
      <c r="B363" s="151"/>
      <c r="C363" s="160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>
      <c r="A364" s="151"/>
      <c r="B364" s="151"/>
      <c r="C364" s="160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>
      <c r="A365" s="151"/>
      <c r="B365" s="151"/>
      <c r="C365" s="160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>
      <c r="A366" s="151"/>
      <c r="B366" s="151"/>
      <c r="C366" s="160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>
      <c r="A367" s="151"/>
      <c r="B367" s="151"/>
      <c r="C367" s="160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>
      <c r="A368" s="151"/>
      <c r="B368" s="151"/>
      <c r="C368" s="160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>
      <c r="A369" s="151"/>
      <c r="B369" s="151"/>
      <c r="C369" s="160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>
      <c r="A370" s="151"/>
      <c r="B370" s="151"/>
      <c r="C370" s="160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>
      <c r="A371" s="151"/>
      <c r="B371" s="151"/>
      <c r="C371" s="160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>
      <c r="A372" s="151"/>
      <c r="B372" s="151"/>
      <c r="C372" s="160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>
      <c r="A373" s="151"/>
      <c r="B373" s="151"/>
      <c r="C373" s="160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>
      <c r="A374" s="151"/>
      <c r="B374" s="151"/>
      <c r="C374" s="160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>
      <c r="A375" s="151"/>
      <c r="B375" s="151"/>
      <c r="C375" s="160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>
      <c r="A376" s="151"/>
      <c r="B376" s="151"/>
      <c r="C376" s="160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>
      <c r="A377" s="151"/>
      <c r="B377" s="151"/>
      <c r="C377" s="160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>
      <c r="A378" s="151"/>
      <c r="B378" s="151"/>
      <c r="C378" s="160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>
      <c r="A379" s="151"/>
      <c r="B379" s="151"/>
      <c r="C379" s="160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>
      <c r="A380" s="151"/>
      <c r="B380" s="151"/>
      <c r="C380" s="160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>
      <c r="A381" s="151"/>
      <c r="B381" s="151"/>
      <c r="C381" s="160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>
      <c r="A382" s="151"/>
      <c r="B382" s="151"/>
      <c r="C382" s="160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>
      <c r="A383" s="151"/>
      <c r="B383" s="151"/>
      <c r="C383" s="160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>
      <c r="A384" s="151"/>
      <c r="B384" s="151"/>
      <c r="C384" s="160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>
      <c r="A385" s="151"/>
      <c r="B385" s="151"/>
      <c r="C385" s="160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>
      <c r="A386" s="151"/>
      <c r="B386" s="151"/>
      <c r="C386" s="160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>
      <c r="A387" s="151"/>
      <c r="B387" s="151"/>
      <c r="C387" s="160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>
      <c r="A388" s="151"/>
      <c r="B388" s="151"/>
      <c r="C388" s="160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>
      <c r="A389" s="151"/>
      <c r="B389" s="151"/>
      <c r="C389" s="160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>
      <c r="A390" s="151"/>
      <c r="B390" s="151"/>
      <c r="C390" s="160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>
      <c r="A391" s="151"/>
      <c r="B391" s="151"/>
      <c r="C391" s="160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>
      <c r="A392" s="151"/>
      <c r="B392" s="151"/>
      <c r="C392" s="160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>
      <c r="A393" s="151"/>
      <c r="B393" s="151"/>
      <c r="C393" s="160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>
      <c r="A394" s="151"/>
      <c r="B394" s="151"/>
      <c r="C394" s="160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>
      <c r="A395" s="151"/>
      <c r="B395" s="151"/>
      <c r="C395" s="160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>
      <c r="A396" s="151"/>
      <c r="B396" s="151"/>
      <c r="C396" s="160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>
      <c r="A397" s="151"/>
      <c r="B397" s="151"/>
      <c r="C397" s="160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>
      <c r="A398" s="151"/>
      <c r="B398" s="151"/>
      <c r="C398" s="160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>
      <c r="A399" s="151"/>
      <c r="B399" s="151"/>
      <c r="C399" s="160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>
      <c r="A400" s="151"/>
      <c r="B400" s="151"/>
      <c r="C400" s="160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>
      <c r="A401" s="151"/>
      <c r="B401" s="151"/>
      <c r="C401" s="160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>
      <c r="A402" s="151"/>
      <c r="B402" s="151"/>
      <c r="C402" s="160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>
      <c r="A403" s="151"/>
      <c r="B403" s="151"/>
      <c r="C403" s="160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>
      <c r="A404" s="151"/>
      <c r="B404" s="151"/>
      <c r="C404" s="160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>
      <c r="A405" s="151"/>
      <c r="B405" s="151"/>
      <c r="C405" s="160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>
      <c r="A406" s="151"/>
      <c r="B406" s="151"/>
      <c r="C406" s="160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>
      <c r="A407" s="151"/>
      <c r="B407" s="151"/>
      <c r="C407" s="160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>
      <c r="A408" s="151"/>
      <c r="B408" s="151"/>
      <c r="C408" s="160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>
      <c r="A409" s="151"/>
      <c r="B409" s="151"/>
      <c r="C409" s="160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>
      <c r="A410" s="151"/>
      <c r="B410" s="151"/>
      <c r="C410" s="160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>
      <c r="A411" s="151"/>
      <c r="B411" s="151"/>
      <c r="C411" s="160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>
      <c r="A412" s="151"/>
      <c r="B412" s="151"/>
      <c r="C412" s="160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>
      <c r="A413" s="151"/>
      <c r="B413" s="151"/>
      <c r="C413" s="160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>
      <c r="A414" s="151"/>
      <c r="B414" s="151"/>
      <c r="C414" s="160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>
      <c r="A415" s="151"/>
      <c r="B415" s="151"/>
      <c r="C415" s="160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>
      <c r="A416" s="151"/>
      <c r="B416" s="151"/>
      <c r="C416" s="160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>
      <c r="A417" s="151"/>
      <c r="B417" s="151"/>
      <c r="C417" s="160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>
      <c r="A418" s="151"/>
      <c r="B418" s="151"/>
      <c r="C418" s="160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>
      <c r="A419" s="151"/>
      <c r="B419" s="151"/>
      <c r="C419" s="160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>
      <c r="A420" s="151"/>
      <c r="B420" s="151"/>
      <c r="C420" s="160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>
      <c r="A421" s="151"/>
      <c r="B421" s="151"/>
      <c r="C421" s="160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>
      <c r="A422" s="151"/>
      <c r="B422" s="151"/>
      <c r="C422" s="160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>
      <c r="A423" s="151"/>
      <c r="B423" s="151"/>
      <c r="C423" s="160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>
      <c r="A424" s="151"/>
      <c r="B424" s="151"/>
      <c r="C424" s="160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>
      <c r="A425" s="151"/>
      <c r="B425" s="151"/>
      <c r="C425" s="160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>
      <c r="A426" s="151"/>
      <c r="B426" s="151"/>
      <c r="C426" s="160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>
      <c r="A427" s="151"/>
      <c r="B427" s="151"/>
      <c r="C427" s="160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>
      <c r="A428" s="151"/>
      <c r="B428" s="151"/>
      <c r="C428" s="160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>
      <c r="A429" s="151"/>
      <c r="B429" s="151"/>
      <c r="C429" s="160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>
      <c r="A430" s="151"/>
      <c r="B430" s="151"/>
      <c r="C430" s="160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>
      <c r="A431" s="151"/>
      <c r="B431" s="151"/>
      <c r="C431" s="160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>
      <c r="A432" s="151"/>
      <c r="B432" s="151"/>
      <c r="C432" s="160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>
      <c r="A433" s="151"/>
      <c r="B433" s="151"/>
      <c r="C433" s="160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>
      <c r="A434" s="151"/>
      <c r="B434" s="151"/>
      <c r="C434" s="160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>
      <c r="A435" s="151"/>
      <c r="B435" s="151"/>
      <c r="C435" s="160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>
      <c r="A436" s="151"/>
      <c r="B436" s="151"/>
      <c r="C436" s="160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>
      <c r="A437" s="151"/>
      <c r="B437" s="151"/>
      <c r="C437" s="160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>
      <c r="A438" s="151"/>
      <c r="B438" s="151"/>
      <c r="C438" s="160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>
      <c r="A439" s="151"/>
      <c r="B439" s="151"/>
      <c r="C439" s="160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>
      <c r="A440" s="151"/>
      <c r="B440" s="151"/>
      <c r="C440" s="160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>
      <c r="A441" s="151"/>
      <c r="B441" s="151"/>
      <c r="C441" s="160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>
      <c r="A442" s="151"/>
      <c r="B442" s="151"/>
      <c r="C442" s="160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>
      <c r="A443" s="151"/>
      <c r="B443" s="151"/>
      <c r="C443" s="160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>
      <c r="A444" s="151"/>
      <c r="B444" s="151"/>
      <c r="C444" s="160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>
      <c r="A445" s="151"/>
      <c r="B445" s="151"/>
      <c r="C445" s="160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>
      <c r="A446" s="151"/>
      <c r="B446" s="151"/>
      <c r="C446" s="160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>
      <c r="A447" s="151"/>
      <c r="B447" s="151"/>
      <c r="C447" s="160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>
      <c r="A448" s="151"/>
      <c r="B448" s="151"/>
      <c r="C448" s="160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>
      <c r="A449" s="151"/>
      <c r="B449" s="151"/>
      <c r="C449" s="160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>
      <c r="A450" s="151"/>
      <c r="B450" s="151"/>
      <c r="C450" s="160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>
      <c r="A451" s="151"/>
      <c r="B451" s="151"/>
      <c r="C451" s="160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>
      <c r="A452" s="151"/>
      <c r="B452" s="151"/>
      <c r="C452" s="160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>
      <c r="A453" s="151"/>
      <c r="B453" s="151"/>
      <c r="C453" s="160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>
      <c r="A454" s="151"/>
      <c r="B454" s="151"/>
      <c r="C454" s="160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>
      <c r="A455" s="151"/>
      <c r="B455" s="151"/>
      <c r="C455" s="160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>
      <c r="A456" s="151"/>
      <c r="B456" s="151"/>
      <c r="C456" s="160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>
      <c r="A457" s="151"/>
      <c r="B457" s="151"/>
      <c r="C457" s="160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>
      <c r="A458" s="151"/>
      <c r="B458" s="151"/>
      <c r="C458" s="160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>
      <c r="A459" s="151"/>
      <c r="B459" s="151"/>
      <c r="C459" s="160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>
      <c r="A460" s="151"/>
      <c r="B460" s="151"/>
      <c r="C460" s="160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>
      <c r="A461" s="151"/>
      <c r="B461" s="151"/>
      <c r="C461" s="160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>
      <c r="A462" s="151"/>
      <c r="B462" s="151"/>
      <c r="C462" s="160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>
      <c r="A463" s="151"/>
      <c r="B463" s="151"/>
      <c r="C463" s="160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>
      <c r="A464" s="151"/>
      <c r="B464" s="151"/>
      <c r="C464" s="160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>
      <c r="A465" s="151"/>
      <c r="B465" s="151"/>
      <c r="C465" s="160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>
      <c r="A466" s="151"/>
      <c r="B466" s="151"/>
      <c r="C466" s="160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>
      <c r="A467" s="151"/>
      <c r="B467" s="151"/>
      <c r="C467" s="160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>
      <c r="A468" s="151"/>
      <c r="B468" s="151"/>
      <c r="C468" s="160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>
      <c r="A469" s="151"/>
      <c r="B469" s="151"/>
      <c r="C469" s="160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>
      <c r="A470" s="151"/>
      <c r="B470" s="151"/>
      <c r="C470" s="160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>
      <c r="A471" s="151"/>
      <c r="B471" s="151"/>
      <c r="C471" s="160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>
      <c r="A472" s="151"/>
      <c r="B472" s="151"/>
      <c r="C472" s="160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>
      <c r="A473" s="151"/>
      <c r="B473" s="151"/>
      <c r="C473" s="160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>
      <c r="A474" s="151"/>
      <c r="B474" s="151"/>
      <c r="C474" s="160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>
      <c r="A475" s="151"/>
      <c r="B475" s="151"/>
      <c r="C475" s="160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>
      <c r="A476" s="151"/>
      <c r="B476" s="151"/>
      <c r="C476" s="160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>
      <c r="A477" s="151"/>
      <c r="B477" s="151"/>
      <c r="C477" s="160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>
      <c r="A478" s="151"/>
      <c r="B478" s="151"/>
      <c r="C478" s="160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>
      <c r="A479" s="151"/>
      <c r="B479" s="151"/>
      <c r="C479" s="160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>
      <c r="A480" s="151"/>
      <c r="B480" s="151"/>
      <c r="C480" s="160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>
      <c r="A481" s="151"/>
      <c r="B481" s="151"/>
      <c r="C481" s="160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>
      <c r="A482" s="151"/>
      <c r="B482" s="151"/>
      <c r="C482" s="160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>
      <c r="A483" s="151"/>
      <c r="B483" s="151"/>
      <c r="C483" s="160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>
      <c r="A484" s="151"/>
      <c r="B484" s="151"/>
      <c r="C484" s="160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>
      <c r="A485" s="151"/>
      <c r="B485" s="151"/>
      <c r="C485" s="160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>
      <c r="A486" s="151"/>
      <c r="B486" s="151"/>
      <c r="C486" s="160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>
      <c r="A487" s="151"/>
      <c r="B487" s="151"/>
      <c r="C487" s="160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>
      <c r="A488" s="151"/>
      <c r="B488" s="151"/>
      <c r="C488" s="160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>
      <c r="A489" s="151"/>
      <c r="B489" s="151"/>
      <c r="C489" s="160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>
      <c r="A490" s="151"/>
      <c r="B490" s="151"/>
      <c r="C490" s="160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>
      <c r="A491" s="151"/>
      <c r="B491" s="151"/>
      <c r="C491" s="160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>
      <c r="A492" s="151"/>
      <c r="B492" s="151"/>
      <c r="C492" s="160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>
      <c r="A493" s="151"/>
      <c r="B493" s="151"/>
      <c r="C493" s="160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>
      <c r="A494" s="151"/>
      <c r="B494" s="151"/>
      <c r="C494" s="160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>
      <c r="A495" s="151"/>
      <c r="B495" s="151"/>
      <c r="C495" s="160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>
      <c r="A496" s="151"/>
      <c r="B496" s="151"/>
      <c r="C496" s="160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>
      <c r="A497" s="151"/>
      <c r="B497" s="151"/>
      <c r="C497" s="160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>
      <c r="A498" s="151"/>
      <c r="B498" s="151"/>
      <c r="C498" s="160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>
      <c r="A499" s="151"/>
      <c r="B499" s="151"/>
      <c r="C499" s="160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>
      <c r="A500" s="151"/>
      <c r="B500" s="151"/>
      <c r="C500" s="160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>
      <c r="A501" s="151"/>
      <c r="B501" s="151"/>
      <c r="C501" s="160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>
      <c r="A502" s="151"/>
      <c r="B502" s="151"/>
      <c r="C502" s="160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>
      <c r="A503" s="151"/>
      <c r="B503" s="151"/>
      <c r="C503" s="160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>
      <c r="A504" s="151"/>
      <c r="B504" s="151"/>
      <c r="C504" s="160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>
      <c r="A505" s="151"/>
      <c r="B505" s="151"/>
      <c r="C505" s="160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>
      <c r="A506" s="151"/>
      <c r="B506" s="151"/>
      <c r="C506" s="160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>
      <c r="A507" s="151"/>
      <c r="B507" s="151"/>
      <c r="C507" s="160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>
      <c r="A508" s="151"/>
      <c r="B508" s="151"/>
      <c r="C508" s="160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>
      <c r="A509" s="151"/>
      <c r="B509" s="151"/>
      <c r="C509" s="160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>
      <c r="A510" s="151"/>
      <c r="B510" s="151"/>
      <c r="C510" s="160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>
      <c r="A511" s="151"/>
      <c r="B511" s="151"/>
      <c r="C511" s="160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>
      <c r="A512" s="151"/>
      <c r="B512" s="151"/>
      <c r="C512" s="160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>
      <c r="A513" s="151"/>
      <c r="B513" s="151"/>
      <c r="C513" s="160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>
      <c r="A514" s="151"/>
      <c r="B514" s="151"/>
      <c r="C514" s="160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>
      <c r="A515" s="151"/>
      <c r="B515" s="151"/>
      <c r="C515" s="160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>
      <c r="A516" s="151"/>
      <c r="B516" s="151"/>
      <c r="C516" s="160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>
      <c r="A517" s="151"/>
      <c r="B517" s="151"/>
      <c r="C517" s="160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>
      <c r="A518" s="151"/>
      <c r="B518" s="151"/>
      <c r="C518" s="160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>
      <c r="A519" s="151"/>
      <c r="B519" s="151"/>
      <c r="C519" s="160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>
      <c r="A520" s="151"/>
      <c r="B520" s="151"/>
      <c r="C520" s="160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>
      <c r="A521" s="151"/>
      <c r="B521" s="151"/>
      <c r="C521" s="160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>
      <c r="A522" s="151"/>
      <c r="B522" s="151"/>
      <c r="C522" s="160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>
      <c r="A523" s="151"/>
      <c r="B523" s="151"/>
      <c r="C523" s="160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>
      <c r="A524" s="151"/>
      <c r="B524" s="151"/>
      <c r="C524" s="160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>
      <c r="A525" s="151"/>
      <c r="B525" s="151"/>
      <c r="C525" s="160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>
      <c r="A526" s="151"/>
      <c r="B526" s="151"/>
      <c r="C526" s="160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>
      <c r="A527" s="151"/>
      <c r="B527" s="151"/>
      <c r="C527" s="160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>
      <c r="A528" s="151"/>
      <c r="B528" s="151"/>
      <c r="C528" s="160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>
      <c r="A529" s="151"/>
      <c r="B529" s="151"/>
      <c r="C529" s="160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>
      <c r="A530" s="151"/>
      <c r="B530" s="151"/>
      <c r="C530" s="160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>
      <c r="A531" s="151"/>
      <c r="B531" s="151"/>
      <c r="C531" s="160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>
      <c r="A532" s="151"/>
      <c r="B532" s="151"/>
      <c r="C532" s="160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>
      <c r="A533" s="151"/>
      <c r="B533" s="151"/>
      <c r="C533" s="160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>
      <c r="A534" s="151"/>
      <c r="B534" s="151"/>
      <c r="C534" s="160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>
      <c r="A535" s="151"/>
      <c r="B535" s="151"/>
      <c r="C535" s="160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>
      <c r="A536" s="151"/>
      <c r="B536" s="151"/>
      <c r="C536" s="160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>
      <c r="A537" s="151"/>
      <c r="B537" s="151"/>
      <c r="C537" s="160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>
      <c r="A538" s="151"/>
      <c r="B538" s="151"/>
      <c r="C538" s="160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>
      <c r="A539" s="151"/>
      <c r="B539" s="151"/>
      <c r="C539" s="160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>
      <c r="A540" s="151"/>
      <c r="B540" s="151"/>
      <c r="C540" s="160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>
      <c r="A541" s="151"/>
      <c r="B541" s="151"/>
      <c r="C541" s="160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>
      <c r="A542" s="151"/>
      <c r="B542" s="151"/>
      <c r="C542" s="160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>
      <c r="A543" s="151"/>
      <c r="B543" s="151"/>
      <c r="C543" s="160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>
      <c r="A544" s="151"/>
      <c r="B544" s="151"/>
      <c r="C544" s="160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>
      <c r="A545" s="151"/>
      <c r="B545" s="151"/>
      <c r="C545" s="160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>
      <c r="A546" s="151"/>
      <c r="B546" s="151"/>
      <c r="C546" s="160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>
      <c r="A547" s="151"/>
      <c r="B547" s="151"/>
      <c r="C547" s="160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>
      <c r="A548" s="151"/>
      <c r="B548" s="151"/>
      <c r="C548" s="160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>
      <c r="A549" s="151"/>
      <c r="B549" s="151"/>
      <c r="C549" s="160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>
      <c r="A550" s="151"/>
      <c r="B550" s="151"/>
      <c r="C550" s="160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>
      <c r="A551" s="151"/>
      <c r="B551" s="151"/>
      <c r="C551" s="160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>
      <c r="A552" s="151"/>
      <c r="B552" s="151"/>
      <c r="C552" s="160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>
      <c r="A553" s="151"/>
      <c r="B553" s="151"/>
      <c r="C553" s="160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>
      <c r="A554" s="151"/>
      <c r="B554" s="151"/>
      <c r="C554" s="160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>
      <c r="A555" s="151"/>
      <c r="B555" s="151"/>
      <c r="C555" s="160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>
      <c r="A556" s="151"/>
      <c r="B556" s="151"/>
      <c r="C556" s="160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>
      <c r="A557" s="151"/>
      <c r="B557" s="151"/>
      <c r="C557" s="160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>
      <c r="A558" s="151"/>
      <c r="B558" s="151"/>
      <c r="C558" s="160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>
      <c r="A559" s="151"/>
      <c r="B559" s="151"/>
      <c r="C559" s="160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>
      <c r="A560" s="151"/>
      <c r="B560" s="151"/>
      <c r="C560" s="160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>
      <c r="A561" s="151"/>
      <c r="B561" s="151"/>
      <c r="C561" s="160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>
      <c r="A562" s="151"/>
      <c r="B562" s="151"/>
      <c r="C562" s="160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>
      <c r="A563" s="151"/>
      <c r="B563" s="151"/>
      <c r="C563" s="160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>
      <c r="A564" s="151"/>
      <c r="B564" s="151"/>
      <c r="C564" s="160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>
      <c r="A565" s="151"/>
      <c r="B565" s="151"/>
      <c r="C565" s="160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>
      <c r="A566" s="151"/>
      <c r="B566" s="151"/>
      <c r="C566" s="160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>
      <c r="A567" s="151"/>
      <c r="B567" s="151"/>
      <c r="C567" s="160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>
      <c r="A568" s="151"/>
      <c r="B568" s="151"/>
      <c r="C568" s="160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>
      <c r="A569" s="151"/>
      <c r="B569" s="151"/>
      <c r="C569" s="160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>
      <c r="A570" s="151"/>
      <c r="B570" s="151"/>
      <c r="C570" s="160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>
      <c r="A571" s="151"/>
      <c r="B571" s="151"/>
      <c r="C571" s="160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>
      <c r="A572" s="151"/>
      <c r="B572" s="151"/>
      <c r="C572" s="160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>
      <c r="A573" s="151"/>
      <c r="B573" s="151"/>
      <c r="C573" s="160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>
      <c r="A574" s="151"/>
      <c r="B574" s="151"/>
      <c r="C574" s="160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>
      <c r="A575" s="151"/>
      <c r="B575" s="151"/>
      <c r="C575" s="160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>
      <c r="A576" s="151"/>
      <c r="B576" s="151"/>
      <c r="C576" s="160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>
      <c r="A577" s="151"/>
      <c r="B577" s="151"/>
      <c r="C577" s="160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>
      <c r="A578" s="151"/>
      <c r="B578" s="151"/>
      <c r="C578" s="160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>
      <c r="A579" s="151"/>
      <c r="B579" s="151"/>
      <c r="C579" s="160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>
      <c r="A580" s="151"/>
      <c r="B580" s="151"/>
      <c r="C580" s="160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>
      <c r="A581" s="151"/>
      <c r="B581" s="151"/>
      <c r="C581" s="160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>
      <c r="A582" s="151"/>
      <c r="B582" s="151"/>
      <c r="C582" s="160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>
      <c r="A583" s="151"/>
      <c r="B583" s="151"/>
      <c r="C583" s="160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>
      <c r="A584" s="151"/>
      <c r="B584" s="151"/>
      <c r="C584" s="160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>
      <c r="A585" s="151"/>
      <c r="B585" s="151"/>
      <c r="C585" s="160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>
      <c r="A586" s="151"/>
      <c r="B586" s="151"/>
      <c r="C586" s="160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>
      <c r="A587" s="151"/>
      <c r="B587" s="151"/>
      <c r="C587" s="160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>
      <c r="A588" s="151"/>
      <c r="B588" s="151"/>
      <c r="C588" s="160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>
      <c r="A589" s="151"/>
      <c r="B589" s="151"/>
      <c r="C589" s="160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>
      <c r="A590" s="151"/>
      <c r="B590" s="151"/>
      <c r="C590" s="160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>
      <c r="A591" s="151"/>
      <c r="B591" s="151"/>
      <c r="C591" s="160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>
      <c r="A592" s="151"/>
      <c r="B592" s="151"/>
      <c r="C592" s="160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>
      <c r="A593" s="151"/>
      <c r="B593" s="151"/>
      <c r="C593" s="160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>
      <c r="A594" s="151"/>
      <c r="B594" s="151"/>
      <c r="C594" s="160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>
      <c r="A595" s="151"/>
      <c r="B595" s="151"/>
      <c r="C595" s="160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>
      <c r="A596" s="151"/>
      <c r="B596" s="151"/>
      <c r="C596" s="160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>
      <c r="A597" s="151"/>
      <c r="B597" s="151"/>
      <c r="C597" s="160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>
      <c r="A598" s="151"/>
      <c r="B598" s="151"/>
      <c r="C598" s="160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>
      <c r="A599" s="151"/>
      <c r="B599" s="151"/>
      <c r="C599" s="160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>
      <c r="A600" s="151"/>
      <c r="B600" s="151"/>
      <c r="C600" s="160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>
      <c r="A601" s="151"/>
      <c r="B601" s="151"/>
      <c r="C601" s="160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>
      <c r="A602" s="151"/>
      <c r="B602" s="151"/>
      <c r="C602" s="160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>
      <c r="A603" s="151"/>
      <c r="B603" s="151"/>
      <c r="C603" s="160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>
      <c r="A604" s="151"/>
      <c r="B604" s="151"/>
      <c r="C604" s="160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>
      <c r="A605" s="151"/>
      <c r="B605" s="151"/>
      <c r="C605" s="160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>
      <c r="A606" s="151"/>
      <c r="B606" s="151"/>
      <c r="C606" s="160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>
      <c r="A607" s="151"/>
      <c r="B607" s="151"/>
      <c r="C607" s="160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>
      <c r="A608" s="151"/>
      <c r="B608" s="151"/>
      <c r="C608" s="160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>
      <c r="A609" s="151"/>
      <c r="B609" s="151"/>
      <c r="C609" s="160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>
      <c r="A610" s="151"/>
      <c r="B610" s="151"/>
      <c r="C610" s="160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>
      <c r="A611" s="151"/>
      <c r="B611" s="151"/>
      <c r="C611" s="160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>
      <c r="A612" s="151"/>
      <c r="B612" s="151"/>
      <c r="C612" s="160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>
      <c r="A613" s="151"/>
      <c r="B613" s="151"/>
      <c r="C613" s="160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>
      <c r="A614" s="151"/>
      <c r="B614" s="151"/>
      <c r="C614" s="160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>
      <c r="A615" s="151"/>
      <c r="B615" s="151"/>
      <c r="C615" s="160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>
      <c r="A616" s="151"/>
      <c r="B616" s="151"/>
      <c r="C616" s="160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>
      <c r="A617" s="151"/>
      <c r="B617" s="151"/>
      <c r="C617" s="160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>
      <c r="A618" s="151"/>
      <c r="B618" s="151"/>
      <c r="C618" s="160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>
      <c r="A619" s="151"/>
      <c r="B619" s="151"/>
      <c r="C619" s="160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>
      <c r="A620" s="151"/>
      <c r="B620" s="151"/>
      <c r="C620" s="160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>
      <c r="A621" s="151"/>
      <c r="B621" s="151"/>
      <c r="C621" s="160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>
      <c r="A622" s="151"/>
      <c r="B622" s="151"/>
      <c r="C622" s="160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>
      <c r="A623" s="151"/>
      <c r="B623" s="151"/>
      <c r="C623" s="160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>
      <c r="A624" s="151"/>
      <c r="B624" s="151"/>
      <c r="C624" s="160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>
      <c r="A625" s="151"/>
      <c r="B625" s="151"/>
      <c r="C625" s="160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>
      <c r="A626" s="151"/>
      <c r="B626" s="151"/>
      <c r="C626" s="160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>
      <c r="A627" s="151"/>
      <c r="B627" s="151"/>
      <c r="C627" s="160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>
      <c r="A628" s="151"/>
      <c r="B628" s="151"/>
      <c r="C628" s="160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>
      <c r="A629" s="151"/>
      <c r="B629" s="151"/>
      <c r="C629" s="160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>
      <c r="A630" s="151"/>
      <c r="B630" s="151"/>
      <c r="C630" s="160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>
      <c r="A631" s="151"/>
      <c r="B631" s="151"/>
      <c r="C631" s="160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>
      <c r="A632" s="151"/>
      <c r="B632" s="151"/>
      <c r="C632" s="160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>
      <c r="A633" s="151"/>
      <c r="B633" s="151"/>
      <c r="C633" s="160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>
      <c r="A634" s="151"/>
      <c r="B634" s="151"/>
      <c r="C634" s="160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>
      <c r="A635" s="151"/>
      <c r="B635" s="151"/>
      <c r="C635" s="160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>
      <c r="A636" s="151"/>
      <c r="B636" s="151"/>
      <c r="C636" s="160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>
      <c r="A637" s="151"/>
      <c r="B637" s="151"/>
      <c r="C637" s="160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>
      <c r="A638" s="151"/>
      <c r="B638" s="151"/>
      <c r="C638" s="160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>
      <c r="A639" s="151"/>
      <c r="B639" s="151"/>
      <c r="C639" s="160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>
      <c r="A640" s="151"/>
      <c r="B640" s="151"/>
      <c r="C640" s="160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>
      <c r="A641" s="151"/>
      <c r="B641" s="151"/>
      <c r="C641" s="160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>
      <c r="A642" s="151"/>
      <c r="B642" s="151"/>
      <c r="C642" s="160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>
      <c r="A643" s="151"/>
      <c r="B643" s="151"/>
      <c r="C643" s="160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>
      <c r="A644" s="151"/>
      <c r="B644" s="151"/>
      <c r="C644" s="160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>
      <c r="A645" s="151"/>
      <c r="B645" s="151"/>
      <c r="C645" s="160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>
      <c r="A646" s="151"/>
      <c r="B646" s="151"/>
      <c r="C646" s="160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>
      <c r="A647" s="151"/>
      <c r="B647" s="151"/>
      <c r="C647" s="160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>
      <c r="A648" s="151"/>
      <c r="B648" s="151"/>
      <c r="C648" s="160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>
      <c r="A649" s="151"/>
      <c r="B649" s="151"/>
      <c r="C649" s="160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>
      <c r="A650" s="151"/>
      <c r="B650" s="151"/>
      <c r="C650" s="160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>
      <c r="A651" s="151"/>
      <c r="B651" s="151"/>
      <c r="C651" s="160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>
      <c r="A652" s="151"/>
      <c r="B652" s="151"/>
      <c r="C652" s="160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>
      <c r="A653" s="151"/>
      <c r="B653" s="151"/>
      <c r="C653" s="160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>
      <c r="A654" s="151"/>
      <c r="B654" s="151"/>
      <c r="C654" s="160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>
      <c r="A655" s="151"/>
      <c r="B655" s="151"/>
      <c r="C655" s="160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>
      <c r="A656" s="151"/>
      <c r="B656" s="151"/>
      <c r="C656" s="160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>
      <c r="A657" s="151"/>
      <c r="B657" s="151"/>
      <c r="C657" s="160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>
      <c r="A658" s="151"/>
      <c r="B658" s="151"/>
      <c r="C658" s="160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>
      <c r="A659" s="151"/>
      <c r="B659" s="151"/>
      <c r="C659" s="160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>
      <c r="A660" s="151"/>
      <c r="B660" s="151"/>
      <c r="C660" s="160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>
      <c r="A661" s="151"/>
      <c r="B661" s="151"/>
      <c r="C661" s="160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>
      <c r="A662" s="151"/>
      <c r="B662" s="151"/>
      <c r="C662" s="160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>
      <c r="A663" s="151"/>
      <c r="B663" s="151"/>
      <c r="C663" s="160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>
      <c r="A664" s="151"/>
      <c r="B664" s="151"/>
      <c r="C664" s="160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>
      <c r="A665" s="151"/>
      <c r="B665" s="151"/>
      <c r="C665" s="160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>
      <c r="A666" s="151"/>
      <c r="B666" s="151"/>
      <c r="C666" s="160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>
      <c r="A667" s="151"/>
      <c r="B667" s="151"/>
      <c r="C667" s="160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>
      <c r="A668" s="151"/>
      <c r="B668" s="151"/>
      <c r="C668" s="160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>
      <c r="A669" s="151"/>
      <c r="B669" s="151"/>
      <c r="C669" s="160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>
      <c r="A670" s="151"/>
      <c r="B670" s="151"/>
      <c r="C670" s="160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>
      <c r="A671" s="151"/>
      <c r="B671" s="151"/>
      <c r="C671" s="160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>
      <c r="A672" s="151"/>
      <c r="B672" s="151"/>
      <c r="C672" s="160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>
      <c r="A673" s="151"/>
      <c r="B673" s="151"/>
      <c r="C673" s="160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>
      <c r="A674" s="151"/>
      <c r="B674" s="151"/>
      <c r="C674" s="160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>
      <c r="A675" s="151"/>
      <c r="B675" s="151"/>
      <c r="C675" s="160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>
      <c r="A676" s="151"/>
      <c r="B676" s="151"/>
      <c r="C676" s="160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>
      <c r="A677" s="151"/>
      <c r="B677" s="151"/>
      <c r="C677" s="160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>
      <c r="A678" s="151"/>
      <c r="B678" s="151"/>
      <c r="C678" s="160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>
      <c r="A679" s="151"/>
      <c r="B679" s="151"/>
      <c r="C679" s="160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>
      <c r="A680" s="151"/>
      <c r="B680" s="151"/>
      <c r="C680" s="160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>
      <c r="A681" s="151"/>
      <c r="B681" s="151"/>
      <c r="C681" s="160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>
      <c r="A682" s="151"/>
      <c r="B682" s="151"/>
      <c r="C682" s="160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>
      <c r="A683" s="151"/>
      <c r="B683" s="151"/>
      <c r="C683" s="160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>
      <c r="A684" s="151"/>
      <c r="B684" s="151"/>
      <c r="C684" s="160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>
      <c r="A685" s="151"/>
      <c r="B685" s="151"/>
      <c r="C685" s="160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>
      <c r="A686" s="151"/>
      <c r="B686" s="151"/>
      <c r="C686" s="160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>
      <c r="A687" s="151"/>
      <c r="B687" s="151"/>
      <c r="C687" s="160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>
      <c r="A688" s="151"/>
      <c r="B688" s="151"/>
      <c r="C688" s="160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>
      <c r="A689" s="151"/>
      <c r="B689" s="151"/>
      <c r="C689" s="160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>
      <c r="A690" s="151"/>
      <c r="B690" s="151"/>
      <c r="C690" s="160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>
      <c r="A691" s="151"/>
      <c r="B691" s="151"/>
      <c r="C691" s="160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>
      <c r="A692" s="151"/>
      <c r="B692" s="151"/>
      <c r="C692" s="160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>
      <c r="A693" s="151"/>
      <c r="B693" s="151"/>
      <c r="C693" s="160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>
      <c r="A694" s="151"/>
      <c r="B694" s="151"/>
      <c r="C694" s="160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>
      <c r="A695" s="151"/>
      <c r="B695" s="151"/>
      <c r="C695" s="160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>
      <c r="A696" s="151"/>
      <c r="B696" s="151"/>
      <c r="C696" s="160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>
      <c r="A697" s="151"/>
      <c r="B697" s="151"/>
      <c r="C697" s="160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>
      <c r="A698" s="151"/>
      <c r="B698" s="151"/>
      <c r="C698" s="160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>
      <c r="A699" s="151"/>
      <c r="B699" s="151"/>
      <c r="C699" s="160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>
      <c r="A700" s="151"/>
      <c r="B700" s="151"/>
      <c r="C700" s="160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>
      <c r="A701" s="151"/>
      <c r="B701" s="151"/>
      <c r="C701" s="160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>
      <c r="A702" s="151"/>
      <c r="B702" s="151"/>
      <c r="C702" s="160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>
      <c r="A703" s="151"/>
      <c r="B703" s="151"/>
      <c r="C703" s="160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>
      <c r="A704" s="151"/>
      <c r="B704" s="151"/>
      <c r="C704" s="160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>
      <c r="A705" s="151"/>
      <c r="B705" s="151"/>
      <c r="C705" s="160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>
      <c r="A706" s="151"/>
      <c r="B706" s="151"/>
      <c r="C706" s="160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>
      <c r="A707" s="151"/>
      <c r="B707" s="151"/>
      <c r="C707" s="160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>
      <c r="A708" s="151"/>
      <c r="B708" s="151"/>
      <c r="C708" s="160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>
      <c r="A709" s="151"/>
      <c r="B709" s="151"/>
      <c r="C709" s="160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>
      <c r="A710" s="151"/>
      <c r="B710" s="151"/>
      <c r="C710" s="160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>
      <c r="A711" s="151"/>
      <c r="B711" s="151"/>
      <c r="C711" s="160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>
      <c r="A712" s="151"/>
      <c r="B712" s="151"/>
      <c r="C712" s="160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>
      <c r="A713" s="151"/>
      <c r="B713" s="151"/>
      <c r="C713" s="160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>
      <c r="A714" s="151"/>
      <c r="B714" s="151"/>
      <c r="C714" s="160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>
      <c r="A715" s="151"/>
      <c r="B715" s="151"/>
      <c r="C715" s="160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>
      <c r="A716" s="151"/>
      <c r="B716" s="151"/>
      <c r="C716" s="160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>
      <c r="A717" s="151"/>
      <c r="B717" s="151"/>
      <c r="C717" s="160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>
      <c r="A718" s="151"/>
      <c r="B718" s="151"/>
      <c r="C718" s="160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>
      <c r="A719" s="151"/>
      <c r="B719" s="151"/>
      <c r="C719" s="160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>
      <c r="A720" s="151"/>
      <c r="B720" s="151"/>
      <c r="C720" s="160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>
      <c r="A721" s="151"/>
      <c r="B721" s="151"/>
      <c r="C721" s="160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>
      <c r="A722" s="151"/>
      <c r="B722" s="151"/>
      <c r="C722" s="160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>
      <c r="A723" s="151"/>
      <c r="B723" s="151"/>
      <c r="C723" s="160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>
      <c r="A724" s="151"/>
      <c r="B724" s="151"/>
      <c r="C724" s="160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>
      <c r="A725" s="151"/>
      <c r="B725" s="151"/>
      <c r="C725" s="160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>
      <c r="A726" s="151"/>
      <c r="B726" s="151"/>
      <c r="C726" s="160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>
      <c r="A727" s="151"/>
      <c r="B727" s="151"/>
      <c r="C727" s="160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>
      <c r="A728" s="151"/>
      <c r="B728" s="151"/>
      <c r="C728" s="160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>
      <c r="A729" s="151"/>
      <c r="B729" s="151"/>
      <c r="C729" s="160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>
      <c r="A730" s="151"/>
      <c r="B730" s="151"/>
      <c r="C730" s="160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>
      <c r="A731" s="151"/>
      <c r="B731" s="151"/>
      <c r="C731" s="160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>
      <c r="A732" s="151"/>
      <c r="B732" s="151"/>
      <c r="C732" s="160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>
      <c r="A733" s="151"/>
      <c r="B733" s="151"/>
      <c r="C733" s="160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>
      <c r="A734" s="151"/>
      <c r="B734" s="151"/>
      <c r="C734" s="160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>
      <c r="A735" s="151"/>
      <c r="B735" s="151"/>
      <c r="C735" s="160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>
      <c r="A736" s="151"/>
      <c r="B736" s="151"/>
      <c r="C736" s="160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>
      <c r="A737" s="151"/>
      <c r="B737" s="151"/>
      <c r="C737" s="160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>
      <c r="A738" s="151"/>
      <c r="B738" s="151"/>
      <c r="C738" s="160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>
      <c r="A739" s="151"/>
      <c r="B739" s="151"/>
      <c r="C739" s="160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>
      <c r="A740" s="151"/>
      <c r="B740" s="151"/>
      <c r="C740" s="160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>
      <c r="A741" s="151"/>
      <c r="B741" s="151"/>
      <c r="C741" s="160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>
      <c r="A742" s="151"/>
      <c r="B742" s="151"/>
      <c r="C742" s="160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>
      <c r="A743" s="151"/>
      <c r="B743" s="151"/>
      <c r="C743" s="160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>
      <c r="A744" s="151"/>
      <c r="B744" s="151"/>
      <c r="C744" s="160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>
      <c r="A745" s="151"/>
      <c r="B745" s="151"/>
      <c r="C745" s="160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>
      <c r="A746" s="151"/>
      <c r="B746" s="151"/>
      <c r="C746" s="160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>
      <c r="A747" s="151"/>
      <c r="B747" s="151"/>
      <c r="C747" s="160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>
      <c r="A748" s="151"/>
      <c r="B748" s="151"/>
      <c r="C748" s="160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>
      <c r="A749" s="151"/>
      <c r="B749" s="151"/>
      <c r="C749" s="160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>
      <c r="A750" s="151"/>
      <c r="B750" s="151"/>
      <c r="C750" s="160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>
      <c r="A751" s="151"/>
      <c r="B751" s="151"/>
      <c r="C751" s="160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>
      <c r="A752" s="151"/>
      <c r="B752" s="151"/>
      <c r="C752" s="160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>
      <c r="A753" s="151"/>
      <c r="B753" s="151"/>
      <c r="C753" s="160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>
      <c r="A754" s="151"/>
      <c r="B754" s="151"/>
      <c r="C754" s="160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>
      <c r="A755" s="151"/>
      <c r="B755" s="151"/>
      <c r="C755" s="160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>
      <c r="A756" s="151"/>
      <c r="B756" s="151"/>
      <c r="C756" s="160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>
      <c r="A757" s="151"/>
      <c r="B757" s="151"/>
      <c r="C757" s="160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>
      <c r="A758" s="151"/>
      <c r="B758" s="151"/>
      <c r="C758" s="160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>
      <c r="A759" s="151"/>
      <c r="B759" s="151"/>
      <c r="C759" s="160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>
      <c r="A760" s="151"/>
      <c r="B760" s="151"/>
      <c r="C760" s="160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>
      <c r="A761" s="151"/>
      <c r="B761" s="151"/>
      <c r="C761" s="160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>
      <c r="A762" s="151"/>
      <c r="B762" s="151"/>
      <c r="C762" s="160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>
      <c r="A763" s="151"/>
      <c r="B763" s="151"/>
      <c r="C763" s="160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>
      <c r="A764" s="151"/>
      <c r="B764" s="151"/>
      <c r="C764" s="160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>
      <c r="A765" s="151"/>
      <c r="B765" s="151"/>
      <c r="C765" s="160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>
      <c r="A766" s="151"/>
      <c r="B766" s="151"/>
      <c r="C766" s="160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>
      <c r="A767" s="151"/>
      <c r="B767" s="151"/>
      <c r="C767" s="160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>
      <c r="A768" s="151"/>
      <c r="B768" s="151"/>
      <c r="C768" s="160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>
      <c r="A769" s="151"/>
      <c r="B769" s="151"/>
      <c r="C769" s="160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>
      <c r="A770" s="151"/>
      <c r="B770" s="151"/>
      <c r="C770" s="160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>
      <c r="A771" s="151"/>
      <c r="B771" s="151"/>
      <c r="C771" s="160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>
      <c r="A772" s="151"/>
      <c r="B772" s="151"/>
      <c r="C772" s="160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>
      <c r="A773" s="151"/>
      <c r="B773" s="151"/>
      <c r="C773" s="160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>
      <c r="A774" s="151"/>
      <c r="B774" s="151"/>
      <c r="C774" s="160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>
      <c r="A775" s="151"/>
      <c r="B775" s="151"/>
      <c r="C775" s="160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>
      <c r="A776" s="151"/>
      <c r="B776" s="151"/>
      <c r="C776" s="160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>
      <c r="A777" s="151"/>
      <c r="B777" s="151"/>
      <c r="C777" s="160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>
      <c r="A778" s="151"/>
      <c r="B778" s="151"/>
      <c r="C778" s="160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>
      <c r="A779" s="151"/>
      <c r="B779" s="151"/>
      <c r="C779" s="160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>
      <c r="A780" s="151"/>
      <c r="B780" s="151"/>
      <c r="C780" s="160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>
      <c r="A781" s="151"/>
      <c r="B781" s="151"/>
      <c r="C781" s="160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>
      <c r="A782" s="151"/>
      <c r="B782" s="151"/>
      <c r="C782" s="160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>
      <c r="A783" s="151"/>
      <c r="B783" s="151"/>
      <c r="C783" s="160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>
      <c r="A784" s="151"/>
      <c r="B784" s="151"/>
      <c r="C784" s="160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>
      <c r="A785" s="151"/>
      <c r="B785" s="151"/>
      <c r="C785" s="160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>
      <c r="A786" s="151"/>
      <c r="B786" s="151"/>
      <c r="C786" s="160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>
      <c r="A787" s="151"/>
      <c r="B787" s="151"/>
      <c r="C787" s="160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>
      <c r="A788" s="151"/>
      <c r="B788" s="151"/>
      <c r="C788" s="160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>
      <c r="A789" s="151"/>
      <c r="B789" s="151"/>
      <c r="C789" s="160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>
      <c r="A790" s="151"/>
      <c r="B790" s="151"/>
      <c r="C790" s="160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>
      <c r="A791" s="151"/>
      <c r="B791" s="151"/>
      <c r="C791" s="160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>
      <c r="A792" s="151"/>
      <c r="B792" s="151"/>
      <c r="C792" s="160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>
      <c r="A793" s="151"/>
      <c r="B793" s="151"/>
      <c r="C793" s="160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>
      <c r="A794" s="151"/>
      <c r="B794" s="151"/>
      <c r="C794" s="160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>
      <c r="A795" s="151"/>
      <c r="B795" s="151"/>
      <c r="C795" s="160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>
      <c r="A796" s="151"/>
      <c r="B796" s="151"/>
      <c r="C796" s="160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>
      <c r="A797" s="151"/>
      <c r="B797" s="151"/>
      <c r="C797" s="160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>
      <c r="A798" s="151"/>
      <c r="B798" s="151"/>
      <c r="C798" s="160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>
      <c r="A799" s="151"/>
      <c r="B799" s="151"/>
      <c r="C799" s="160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>
      <c r="A800" s="151"/>
      <c r="B800" s="151"/>
      <c r="C800" s="160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>
      <c r="A801" s="151"/>
      <c r="B801" s="151"/>
      <c r="C801" s="160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>
      <c r="A802" s="151"/>
      <c r="B802" s="151"/>
      <c r="C802" s="160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>
      <c r="A803" s="151"/>
      <c r="B803" s="151"/>
      <c r="C803" s="160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>
      <c r="A804" s="151"/>
      <c r="B804" s="151"/>
      <c r="C804" s="160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>
      <c r="A805" s="151"/>
      <c r="B805" s="151"/>
      <c r="C805" s="160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>
      <c r="A806" s="151"/>
      <c r="B806" s="151"/>
      <c r="C806" s="160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>
      <c r="A807" s="151"/>
      <c r="B807" s="151"/>
      <c r="C807" s="160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>
      <c r="A808" s="151"/>
      <c r="B808" s="151"/>
      <c r="C808" s="160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>
      <c r="A809" s="151"/>
      <c r="B809" s="151"/>
      <c r="C809" s="160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>
      <c r="A810" s="151"/>
      <c r="B810" s="151"/>
      <c r="C810" s="160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>
      <c r="A811" s="151"/>
      <c r="B811" s="151"/>
      <c r="C811" s="160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>
      <c r="A812" s="151"/>
      <c r="B812" s="151"/>
      <c r="C812" s="160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>
      <c r="A813" s="151"/>
      <c r="B813" s="151"/>
      <c r="C813" s="160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>
      <c r="A814" s="151"/>
      <c r="B814" s="151"/>
      <c r="C814" s="160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>
      <c r="A815" s="151"/>
      <c r="B815" s="151"/>
      <c r="C815" s="160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>
      <c r="A816" s="151"/>
      <c r="B816" s="151"/>
      <c r="C816" s="160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>
      <c r="A817" s="151"/>
      <c r="B817" s="151"/>
      <c r="C817" s="160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>
      <c r="A818" s="151"/>
      <c r="B818" s="151"/>
      <c r="C818" s="160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>
      <c r="A819" s="151"/>
      <c r="B819" s="151"/>
      <c r="C819" s="160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>
      <c r="A820" s="151"/>
      <c r="B820" s="151"/>
      <c r="C820" s="160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>
      <c r="A821" s="151"/>
      <c r="B821" s="151"/>
      <c r="C821" s="160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>
      <c r="A822" s="151"/>
      <c r="B822" s="151"/>
      <c r="C822" s="160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>
      <c r="A823" s="151"/>
      <c r="B823" s="151"/>
      <c r="C823" s="160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>
      <c r="A824" s="151"/>
      <c r="B824" s="151"/>
      <c r="C824" s="160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>
      <c r="A825" s="151"/>
      <c r="B825" s="151"/>
      <c r="C825" s="160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>
      <c r="A826" s="151"/>
      <c r="B826" s="151"/>
      <c r="C826" s="160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>
      <c r="A827" s="151"/>
      <c r="B827" s="151"/>
      <c r="C827" s="160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>
      <c r="A828" s="151"/>
      <c r="B828" s="151"/>
      <c r="C828" s="160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>
      <c r="A829" s="151"/>
      <c r="B829" s="151"/>
      <c r="C829" s="160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>
      <c r="A830" s="151"/>
      <c r="B830" s="151"/>
      <c r="C830" s="160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>
      <c r="A831" s="151"/>
      <c r="B831" s="151"/>
      <c r="C831" s="160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>
      <c r="A832" s="151"/>
      <c r="B832" s="151"/>
      <c r="C832" s="160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>
      <c r="A833" s="151"/>
      <c r="B833" s="151"/>
      <c r="C833" s="160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>
      <c r="A834" s="151"/>
      <c r="B834" s="151"/>
      <c r="C834" s="160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>
      <c r="A835" s="151"/>
      <c r="B835" s="151"/>
      <c r="C835" s="160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>
      <c r="A836" s="151"/>
      <c r="B836" s="151"/>
      <c r="C836" s="160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>
      <c r="A837" s="151"/>
      <c r="B837" s="151"/>
      <c r="C837" s="160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>
      <c r="A838" s="151"/>
      <c r="B838" s="151"/>
      <c r="C838" s="160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>
      <c r="A839" s="151"/>
      <c r="B839" s="151"/>
      <c r="C839" s="160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>
      <c r="A840" s="151"/>
      <c r="B840" s="151"/>
      <c r="C840" s="160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>
      <c r="A841" s="151"/>
      <c r="B841" s="151"/>
      <c r="C841" s="160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>
      <c r="A842" s="151"/>
      <c r="B842" s="151"/>
      <c r="C842" s="160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>
      <c r="A843" s="151"/>
      <c r="B843" s="151"/>
      <c r="C843" s="160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>
      <c r="A844" s="151"/>
      <c r="B844" s="151"/>
      <c r="C844" s="160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>
      <c r="A845" s="151"/>
      <c r="B845" s="151"/>
      <c r="C845" s="160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>
      <c r="A846" s="151"/>
      <c r="B846" s="151"/>
      <c r="C846" s="160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>
      <c r="A847" s="151"/>
      <c r="B847" s="151"/>
      <c r="C847" s="160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>
      <c r="A848" s="151"/>
      <c r="B848" s="151"/>
      <c r="C848" s="160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>
      <c r="A849" s="151"/>
      <c r="B849" s="151"/>
      <c r="C849" s="160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>
      <c r="A850" s="151"/>
      <c r="B850" s="151"/>
      <c r="C850" s="160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>
      <c r="A851" s="151"/>
      <c r="B851" s="151"/>
      <c r="C851" s="160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>
      <c r="A852" s="151"/>
      <c r="B852" s="151"/>
      <c r="C852" s="160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>
      <c r="A853" s="151"/>
      <c r="B853" s="151"/>
      <c r="C853" s="160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>
      <c r="A854" s="151"/>
      <c r="B854" s="151"/>
      <c r="C854" s="160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>
      <c r="A855" s="151"/>
      <c r="B855" s="151"/>
      <c r="C855" s="160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>
      <c r="A856" s="151"/>
      <c r="B856" s="151"/>
      <c r="C856" s="160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>
      <c r="A857" s="151"/>
      <c r="B857" s="151"/>
      <c r="C857" s="160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>
      <c r="A858" s="151"/>
      <c r="B858" s="151"/>
      <c r="C858" s="160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>
      <c r="A859" s="151"/>
      <c r="B859" s="151"/>
      <c r="C859" s="160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>
      <c r="A860" s="151"/>
      <c r="B860" s="151"/>
      <c r="C860" s="160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>
      <c r="A861" s="151"/>
      <c r="B861" s="151"/>
      <c r="C861" s="160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>
      <c r="A862" s="151"/>
      <c r="B862" s="151"/>
      <c r="C862" s="160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>
      <c r="A863" s="151"/>
      <c r="B863" s="151"/>
      <c r="C863" s="160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>
      <c r="A864" s="151"/>
      <c r="B864" s="151"/>
      <c r="C864" s="160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>
      <c r="A865" s="151"/>
      <c r="B865" s="151"/>
      <c r="C865" s="160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>
      <c r="A866" s="151"/>
      <c r="B866" s="151"/>
      <c r="C866" s="160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>
      <c r="A867" s="151"/>
      <c r="B867" s="151"/>
      <c r="C867" s="160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>
      <c r="A868" s="151"/>
      <c r="B868" s="151"/>
      <c r="C868" s="160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>
      <c r="A869" s="151"/>
      <c r="B869" s="151"/>
      <c r="C869" s="160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>
      <c r="A870" s="151"/>
      <c r="B870" s="151"/>
      <c r="C870" s="160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>
      <c r="A871" s="151"/>
      <c r="B871" s="151"/>
      <c r="C871" s="160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>
      <c r="A872" s="151"/>
      <c r="B872" s="151"/>
      <c r="C872" s="160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>
      <c r="A873" s="151"/>
      <c r="B873" s="151"/>
      <c r="C873" s="160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>
      <c r="A874" s="151"/>
      <c r="B874" s="151"/>
      <c r="C874" s="160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>
      <c r="A875" s="151"/>
      <c r="B875" s="151"/>
      <c r="C875" s="160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>
      <c r="A876" s="151"/>
      <c r="B876" s="151"/>
      <c r="C876" s="160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>
      <c r="A877" s="151"/>
      <c r="B877" s="151"/>
      <c r="C877" s="160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>
      <c r="A878" s="151"/>
      <c r="B878" s="151"/>
      <c r="C878" s="160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>
      <c r="A879" s="151"/>
      <c r="B879" s="151"/>
      <c r="C879" s="160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>
      <c r="A880" s="151"/>
      <c r="B880" s="151"/>
      <c r="C880" s="160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>
      <c r="A881" s="151"/>
      <c r="B881" s="151"/>
      <c r="C881" s="160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>
      <c r="A882" s="151"/>
      <c r="B882" s="151"/>
      <c r="C882" s="160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>
      <c r="A883" s="151"/>
      <c r="B883" s="151"/>
      <c r="C883" s="160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>
      <c r="A884" s="151"/>
      <c r="B884" s="151"/>
      <c r="C884" s="160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>
      <c r="A885" s="151"/>
      <c r="B885" s="151"/>
      <c r="C885" s="160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>
      <c r="A886" s="151"/>
      <c r="B886" s="151"/>
      <c r="C886" s="160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>
      <c r="A887" s="151"/>
      <c r="B887" s="151"/>
      <c r="C887" s="160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>
      <c r="A888" s="151"/>
      <c r="B888" s="151"/>
      <c r="C888" s="160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>
      <c r="A889" s="151"/>
      <c r="B889" s="151"/>
      <c r="C889" s="160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>
      <c r="A890" s="151"/>
      <c r="B890" s="151"/>
      <c r="C890" s="160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>
      <c r="A891" s="151"/>
      <c r="B891" s="151"/>
      <c r="C891" s="160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>
      <c r="A892" s="151"/>
      <c r="B892" s="151"/>
      <c r="C892" s="160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>
      <c r="A893" s="151"/>
      <c r="B893" s="151"/>
      <c r="C893" s="160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>
      <c r="A894" s="151"/>
      <c r="B894" s="151"/>
      <c r="C894" s="160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>
      <c r="A895" s="151"/>
      <c r="B895" s="151"/>
      <c r="C895" s="160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>
      <c r="A896" s="151"/>
      <c r="B896" s="151"/>
      <c r="C896" s="160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>
      <c r="A897" s="151"/>
      <c r="B897" s="151"/>
      <c r="C897" s="160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>
      <c r="A898" s="151"/>
      <c r="B898" s="151"/>
      <c r="C898" s="160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>
      <c r="A899" s="151"/>
      <c r="B899" s="151"/>
      <c r="C899" s="160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>
      <c r="A900" s="151"/>
      <c r="B900" s="151"/>
      <c r="C900" s="160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>
      <c r="A901" s="151"/>
      <c r="B901" s="151"/>
      <c r="C901" s="160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>
      <c r="A902" s="151"/>
      <c r="B902" s="151"/>
      <c r="C902" s="160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>
      <c r="A903" s="151"/>
      <c r="B903" s="151"/>
      <c r="C903" s="160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>
      <c r="A904" s="151"/>
      <c r="B904" s="151"/>
      <c r="C904" s="160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>
      <c r="A905" s="151"/>
      <c r="B905" s="151"/>
      <c r="C905" s="160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>
      <c r="A906" s="151"/>
      <c r="B906" s="151"/>
      <c r="C906" s="160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>
      <c r="A907" s="151"/>
      <c r="B907" s="151"/>
      <c r="C907" s="160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>
      <c r="A908" s="151"/>
      <c r="B908" s="151"/>
      <c r="C908" s="160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>
      <c r="A909" s="151"/>
      <c r="B909" s="151"/>
      <c r="C909" s="160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>
      <c r="A910" s="151"/>
      <c r="B910" s="151"/>
      <c r="C910" s="160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>
      <c r="A911" s="151"/>
      <c r="B911" s="151"/>
      <c r="C911" s="160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>
      <c r="A912" s="151"/>
      <c r="B912" s="151"/>
      <c r="C912" s="160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>
      <c r="A913" s="151"/>
      <c r="B913" s="151"/>
      <c r="C913" s="160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>
      <c r="A914" s="151"/>
      <c r="B914" s="151"/>
      <c r="C914" s="160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>
      <c r="A915" s="151"/>
      <c r="B915" s="151"/>
      <c r="C915" s="160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>
      <c r="A916" s="151"/>
      <c r="B916" s="151"/>
      <c r="C916" s="160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>
      <c r="A917" s="151"/>
      <c r="B917" s="151"/>
      <c r="C917" s="160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>
      <c r="A918" s="151"/>
      <c r="B918" s="151"/>
      <c r="C918" s="160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>
      <c r="A919" s="151"/>
      <c r="B919" s="151"/>
      <c r="C919" s="160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>
      <c r="A920" s="151"/>
      <c r="B920" s="151"/>
      <c r="C920" s="160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>
      <c r="A921" s="151"/>
      <c r="B921" s="151"/>
      <c r="C921" s="160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>
      <c r="A922" s="151"/>
      <c r="B922" s="151"/>
      <c r="C922" s="160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>
      <c r="A923" s="151"/>
      <c r="B923" s="151"/>
      <c r="C923" s="160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>
      <c r="A924" s="151"/>
      <c r="B924" s="151"/>
      <c r="C924" s="160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>
      <c r="A925" s="151"/>
      <c r="B925" s="151"/>
      <c r="C925" s="160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>
      <c r="A926" s="151"/>
      <c r="B926" s="151"/>
      <c r="C926" s="160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>
      <c r="A927" s="151"/>
      <c r="B927" s="151"/>
      <c r="C927" s="160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>
      <c r="A928" s="151"/>
      <c r="B928" s="151"/>
      <c r="C928" s="160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>
      <c r="A929" s="151"/>
      <c r="B929" s="151"/>
      <c r="C929" s="160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>
      <c r="A930" s="151"/>
      <c r="B930" s="151"/>
      <c r="C930" s="160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>
      <c r="A931" s="151"/>
      <c r="B931" s="151"/>
      <c r="C931" s="160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>
      <c r="A932" s="151"/>
      <c r="B932" s="151"/>
      <c r="C932" s="160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>
      <c r="A933" s="151"/>
      <c r="B933" s="151"/>
      <c r="C933" s="160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>
      <c r="A934" s="151"/>
      <c r="B934" s="151"/>
      <c r="C934" s="160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>
      <c r="A935" s="151"/>
      <c r="B935" s="151"/>
      <c r="C935" s="160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>
      <c r="A936" s="151"/>
      <c r="B936" s="151"/>
      <c r="C936" s="160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>
      <c r="A937" s="151"/>
      <c r="B937" s="151"/>
      <c r="C937" s="160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>
      <c r="A938" s="151"/>
      <c r="B938" s="151"/>
      <c r="C938" s="160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>
      <c r="A939" s="151"/>
      <c r="B939" s="151"/>
      <c r="C939" s="160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>
      <c r="A940" s="151"/>
      <c r="B940" s="151"/>
      <c r="C940" s="160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>
      <c r="A941" s="151"/>
      <c r="B941" s="151"/>
      <c r="C941" s="160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>
      <c r="A942" s="151"/>
      <c r="B942" s="151"/>
      <c r="C942" s="160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>
      <c r="A943" s="151"/>
      <c r="B943" s="151"/>
      <c r="C943" s="160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>
      <c r="A944" s="151"/>
      <c r="B944" s="151"/>
      <c r="C944" s="160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>
      <c r="A945" s="151"/>
      <c r="B945" s="151"/>
      <c r="C945" s="160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>
      <c r="A946" s="151"/>
      <c r="B946" s="151"/>
      <c r="C946" s="160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>
      <c r="A947" s="151"/>
      <c r="B947" s="151"/>
      <c r="C947" s="160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>
      <c r="A948" s="151"/>
      <c r="B948" s="151"/>
      <c r="C948" s="160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>
      <c r="A949" s="151"/>
      <c r="B949" s="151"/>
      <c r="C949" s="160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>
      <c r="A950" s="151"/>
      <c r="B950" s="151"/>
      <c r="C950" s="160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>
      <c r="A951" s="151"/>
      <c r="B951" s="151"/>
      <c r="C951" s="160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>
      <c r="A952" s="151"/>
      <c r="B952" s="151"/>
      <c r="C952" s="160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>
      <c r="A953" s="151"/>
      <c r="B953" s="151"/>
      <c r="C953" s="160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>
      <c r="A954" s="151"/>
      <c r="B954" s="151"/>
      <c r="C954" s="160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>
      <c r="A955" s="151"/>
      <c r="B955" s="151"/>
      <c r="C955" s="160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>
      <c r="A956" s="151"/>
      <c r="B956" s="151"/>
      <c r="C956" s="160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>
      <c r="A957" s="151"/>
      <c r="B957" s="151"/>
      <c r="C957" s="160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>
      <c r="A958" s="151"/>
      <c r="B958" s="151"/>
      <c r="C958" s="160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>
      <c r="A959" s="151"/>
      <c r="B959" s="151"/>
      <c r="C959" s="160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>
      <c r="A960" s="151"/>
      <c r="B960" s="151"/>
      <c r="C960" s="160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>
      <c r="A961" s="151"/>
      <c r="B961" s="151"/>
      <c r="C961" s="160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>
      <c r="A962" s="151"/>
      <c r="B962" s="151"/>
      <c r="C962" s="160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>
      <c r="A963" s="151"/>
      <c r="B963" s="151"/>
      <c r="C963" s="160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>
      <c r="A964" s="151"/>
      <c r="B964" s="151"/>
      <c r="C964" s="160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>
      <c r="A965" s="151"/>
      <c r="B965" s="151"/>
      <c r="C965" s="160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>
      <c r="A966" s="151"/>
      <c r="B966" s="151"/>
      <c r="C966" s="160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>
      <c r="A967" s="151"/>
      <c r="B967" s="151"/>
      <c r="C967" s="160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>
      <c r="A968" s="151"/>
      <c r="B968" s="151"/>
      <c r="C968" s="160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>
      <c r="A969" s="151"/>
      <c r="B969" s="151"/>
      <c r="C969" s="160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>
      <c r="A970" s="151"/>
      <c r="B970" s="151"/>
      <c r="C970" s="160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>
      <c r="A971" s="151"/>
      <c r="B971" s="151"/>
      <c r="C971" s="160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>
      <c r="A972" s="151"/>
      <c r="B972" s="151"/>
      <c r="C972" s="160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>
      <c r="A973" s="151"/>
      <c r="B973" s="151"/>
      <c r="C973" s="160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>
      <c r="A974" s="151"/>
      <c r="B974" s="151"/>
      <c r="C974" s="160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>
      <c r="A975" s="151"/>
      <c r="B975" s="151"/>
      <c r="C975" s="160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>
      <c r="A976" s="151"/>
      <c r="B976" s="151"/>
      <c r="C976" s="160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>
      <c r="A977" s="151"/>
      <c r="B977" s="151"/>
      <c r="C977" s="160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>
      <c r="A978" s="151"/>
      <c r="B978" s="151"/>
      <c r="C978" s="160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>
      <c r="A979" s="151"/>
      <c r="B979" s="151"/>
      <c r="C979" s="160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>
      <c r="A980" s="151"/>
      <c r="B980" s="151"/>
      <c r="C980" s="160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>
      <c r="A981" s="151"/>
      <c r="B981" s="151"/>
      <c r="C981" s="160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>
      <c r="A982" s="151"/>
      <c r="B982" s="151"/>
      <c r="C982" s="160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>
      <c r="A983" s="151"/>
      <c r="B983" s="151"/>
      <c r="C983" s="160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>
      <c r="A984" s="151"/>
      <c r="B984" s="151"/>
      <c r="C984" s="160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>
      <c r="A985" s="151"/>
      <c r="B985" s="151"/>
      <c r="C985" s="160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>
      <c r="A986" s="151"/>
      <c r="B986" s="151"/>
      <c r="C986" s="160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>
      <c r="A987" s="151"/>
      <c r="B987" s="151"/>
      <c r="C987" s="160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>
      <c r="A988" s="151"/>
      <c r="B988" s="151"/>
      <c r="C988" s="160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>
      <c r="A989" s="151"/>
      <c r="B989" s="151"/>
      <c r="C989" s="160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>
      <c r="A990" s="151"/>
      <c r="B990" s="151"/>
      <c r="C990" s="160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>
      <c r="A991" s="151"/>
      <c r="B991" s="151"/>
      <c r="C991" s="160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>
      <c r="A992" s="151"/>
      <c r="B992" s="151"/>
      <c r="C992" s="160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>
      <c r="A993" s="151"/>
      <c r="B993" s="151"/>
      <c r="C993" s="160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>
      <c r="A994" s="151"/>
      <c r="B994" s="151"/>
      <c r="C994" s="160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>
      <c r="A995" s="151"/>
      <c r="B995" s="151"/>
      <c r="C995" s="160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>
      <c r="A996" s="151"/>
      <c r="B996" s="151"/>
      <c r="C996" s="160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>
      <c r="A997" s="151"/>
      <c r="B997" s="151"/>
      <c r="C997" s="160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>
      <c r="A998" s="151"/>
      <c r="B998" s="151"/>
      <c r="C998" s="160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>
      <c r="A999" s="151"/>
      <c r="B999" s="151"/>
      <c r="C999" s="160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>
      <c r="A1000" s="151"/>
      <c r="B1000" s="151"/>
      <c r="C1000" s="160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mergeCells count="1">
    <mergeCell ref="B1:C12"/>
  </mergeCells>
  <drawing r:id="rId1"/>
  <tableParts count="1">
    <tablePart r:id="rId3"/>
  </tableParts>
</worksheet>
</file>